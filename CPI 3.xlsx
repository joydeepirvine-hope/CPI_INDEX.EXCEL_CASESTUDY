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59b5f3fa062e56f/Desktop/"/>
    </mc:Choice>
  </mc:AlternateContent>
  <xr:revisionPtr revIDLastSave="978" documentId="13_ncr:1_{D2228FC5-41D3-4C3A-AEFF-9A3916AC2F0A}" xr6:coauthVersionLast="47" xr6:coauthVersionMax="47" xr10:uidLastSave="{BE59795A-7748-4987-9173-F9ECCA590B5D}"/>
  <bookViews>
    <workbookView xWindow="-108" yWindow="-108" windowWidth="23256" windowHeight="12456" activeTab="2" xr2:uid="{B25C83F1-DF65-4D5E-ABC2-4DD7635F9313}"/>
  </bookViews>
  <sheets>
    <sheet name="CLEANED DATA" sheetId="1" r:id="rId1"/>
    <sheet name="CATEGORIES" sheetId="2" r:id="rId2"/>
    <sheet name="AFTER CATEGORIES SUM" sheetId="18" r:id="rId3"/>
    <sheet name="Q1(A,B)" sheetId="22" r:id="rId4"/>
    <sheet name="Q2 GI" sheetId="23" r:id="rId5"/>
    <sheet name="Q2" sheetId="25" r:id="rId6"/>
    <sheet name="Q3(A)" sheetId="30" r:id="rId7"/>
    <sheet name="Q3-B" sheetId="33" r:id="rId8"/>
    <sheet name="Q3B-FOOD BUCKET DATA" sheetId="32" r:id="rId9"/>
    <sheet name="Q4 DATA" sheetId="13" r:id="rId10"/>
    <sheet name="Q5 FROM WEBSITE" sheetId="16" r:id="rId11"/>
    <sheet name="Q5 DATA" sheetId="17" r:id="rId12"/>
  </sheets>
  <externalReferences>
    <externalReference r:id="rId13"/>
  </externalReferences>
  <definedNames>
    <definedName name="_xlnm._FilterDatabase" localSheetId="0" hidden="1">'CLEANED DATA'!$A$1:$AD$373</definedName>
    <definedName name="_xlchart.v1.0" hidden="1">'Q3(A)'!$B$6:$B$18</definedName>
    <definedName name="_xlchart.v1.1" hidden="1">'Q3(A)'!$C$6:$C$18</definedName>
    <definedName name="_xlchart.v1.2" hidden="1">'Q3(A)'!$D$6:$D$18</definedName>
    <definedName name="ExternalData_1" localSheetId="5" hidden="1">'Q2'!$A$5:$C$13</definedName>
    <definedName name="ExternalData_1" localSheetId="8" hidden="1">'Q3B-FOOD BUCKET DATA'!$A$1:$P$40</definedName>
    <definedName name="Slicer_Sector">#N/A</definedName>
  </definedNames>
  <calcPr calcId="191029"/>
  <pivotCaches>
    <pivotCache cacheId="1" r:id="rId14"/>
    <pivotCache cacheId="2" r:id="rId15"/>
    <pivotCache cacheId="3"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33" l="1"/>
  <c r="K28" i="33"/>
  <c r="K29" i="33"/>
  <c r="K30" i="33"/>
  <c r="K31" i="33"/>
  <c r="K32" i="33"/>
  <c r="K33" i="33"/>
  <c r="K34" i="33"/>
  <c r="K35" i="33"/>
  <c r="K36" i="33"/>
  <c r="K37" i="33"/>
  <c r="K38" i="33"/>
  <c r="K26" i="33"/>
  <c r="Q27" i="33"/>
  <c r="Q28" i="33"/>
  <c r="Q29" i="33"/>
  <c r="Q30" i="33"/>
  <c r="Q31" i="33"/>
  <c r="Q32" i="33"/>
  <c r="Q33" i="33"/>
  <c r="Q34" i="33"/>
  <c r="Q35" i="33"/>
  <c r="Q36" i="33"/>
  <c r="Q37" i="33"/>
  <c r="Q38" i="33"/>
  <c r="Q26" i="33"/>
  <c r="C27" i="33"/>
  <c r="D27" i="33"/>
  <c r="E27" i="33"/>
  <c r="F27" i="33"/>
  <c r="G27" i="33"/>
  <c r="H27" i="33"/>
  <c r="I27" i="33"/>
  <c r="L27" i="33"/>
  <c r="M27" i="33"/>
  <c r="N27" i="33"/>
  <c r="O27" i="33"/>
  <c r="C28" i="33"/>
  <c r="D28" i="33"/>
  <c r="E28" i="33"/>
  <c r="F28" i="33"/>
  <c r="G28" i="33"/>
  <c r="H28" i="33"/>
  <c r="I28" i="33"/>
  <c r="L28" i="33"/>
  <c r="M28" i="33"/>
  <c r="N28" i="33"/>
  <c r="O28" i="33"/>
  <c r="C29" i="33"/>
  <c r="D29" i="33"/>
  <c r="E29" i="33"/>
  <c r="F29" i="33"/>
  <c r="G29" i="33"/>
  <c r="H29" i="33"/>
  <c r="I29" i="33"/>
  <c r="L29" i="33"/>
  <c r="M29" i="33"/>
  <c r="N29" i="33"/>
  <c r="O29" i="33"/>
  <c r="C30" i="33"/>
  <c r="D30" i="33"/>
  <c r="E30" i="33"/>
  <c r="F30" i="33"/>
  <c r="G30" i="33"/>
  <c r="H30" i="33"/>
  <c r="I30" i="33"/>
  <c r="L30" i="33"/>
  <c r="M30" i="33"/>
  <c r="N30" i="33"/>
  <c r="O30" i="33"/>
  <c r="C31" i="33"/>
  <c r="D31" i="33"/>
  <c r="E31" i="33"/>
  <c r="F31" i="33"/>
  <c r="G31" i="33"/>
  <c r="H31" i="33"/>
  <c r="I31" i="33"/>
  <c r="L31" i="33"/>
  <c r="M31" i="33"/>
  <c r="N31" i="33"/>
  <c r="O31" i="33"/>
  <c r="C32" i="33"/>
  <c r="D32" i="33"/>
  <c r="E32" i="33"/>
  <c r="F32" i="33"/>
  <c r="G32" i="33"/>
  <c r="H32" i="33"/>
  <c r="I32" i="33"/>
  <c r="L32" i="33"/>
  <c r="M32" i="33"/>
  <c r="N32" i="33"/>
  <c r="O32" i="33"/>
  <c r="C33" i="33"/>
  <c r="D33" i="33"/>
  <c r="E33" i="33"/>
  <c r="F33" i="33"/>
  <c r="G33" i="33"/>
  <c r="H33" i="33"/>
  <c r="I33" i="33"/>
  <c r="L33" i="33"/>
  <c r="M33" i="33"/>
  <c r="N33" i="33"/>
  <c r="O33" i="33"/>
  <c r="C34" i="33"/>
  <c r="D34" i="33"/>
  <c r="E34" i="33"/>
  <c r="F34" i="33"/>
  <c r="G34" i="33"/>
  <c r="H34" i="33"/>
  <c r="I34" i="33"/>
  <c r="L34" i="33"/>
  <c r="M34" i="33"/>
  <c r="N34" i="33"/>
  <c r="O34" i="33"/>
  <c r="C35" i="33"/>
  <c r="D35" i="33"/>
  <c r="E35" i="33"/>
  <c r="F35" i="33"/>
  <c r="G35" i="33"/>
  <c r="H35" i="33"/>
  <c r="I35" i="33"/>
  <c r="L35" i="33"/>
  <c r="M35" i="33"/>
  <c r="N35" i="33"/>
  <c r="O35" i="33"/>
  <c r="C36" i="33"/>
  <c r="D36" i="33"/>
  <c r="E36" i="33"/>
  <c r="F36" i="33"/>
  <c r="G36" i="33"/>
  <c r="H36" i="33"/>
  <c r="I36" i="33"/>
  <c r="L36" i="33"/>
  <c r="M36" i="33"/>
  <c r="N36" i="33"/>
  <c r="O36" i="33"/>
  <c r="C37" i="33"/>
  <c r="D37" i="33"/>
  <c r="E37" i="33"/>
  <c r="F37" i="33"/>
  <c r="G37" i="33"/>
  <c r="H37" i="33"/>
  <c r="I37" i="33"/>
  <c r="L37" i="33"/>
  <c r="M37" i="33"/>
  <c r="N37" i="33"/>
  <c r="O37" i="33"/>
  <c r="C38" i="33"/>
  <c r="D38" i="33"/>
  <c r="E38" i="33"/>
  <c r="F38" i="33"/>
  <c r="G38" i="33"/>
  <c r="H38" i="33"/>
  <c r="I38" i="33"/>
  <c r="L38" i="33"/>
  <c r="M38" i="33"/>
  <c r="N38" i="33"/>
  <c r="O38" i="33"/>
  <c r="D26" i="33"/>
  <c r="E26" i="33"/>
  <c r="F26" i="33"/>
  <c r="G26" i="33"/>
  <c r="H26" i="33"/>
  <c r="I26" i="33"/>
  <c r="L26" i="33"/>
  <c r="M26" i="33"/>
  <c r="N26" i="33"/>
  <c r="O26" i="33"/>
  <c r="C26" i="33"/>
  <c r="D16" i="30"/>
  <c r="D17" i="30"/>
  <c r="D18" i="30"/>
  <c r="D15" i="30"/>
  <c r="D14" i="30"/>
  <c r="D7" i="30"/>
  <c r="D8" i="30"/>
  <c r="D9" i="30"/>
  <c r="D10" i="30"/>
  <c r="D11" i="30"/>
  <c r="D12" i="30"/>
  <c r="D6" i="30"/>
  <c r="C13" i="25"/>
  <c r="D8" i="25"/>
  <c r="D9" i="25"/>
  <c r="D10" i="25"/>
  <c r="D11" i="25"/>
  <c r="D12" i="25"/>
  <c r="D7" i="25"/>
  <c r="D262" i="23"/>
  <c r="D261" i="23"/>
  <c r="D260" i="23"/>
  <c r="B10" i="22"/>
  <c r="C5" i="22" s="1"/>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D354" i="18"/>
  <c r="D355" i="18"/>
  <c r="D356" i="18"/>
  <c r="D357" i="18"/>
  <c r="D358" i="18"/>
  <c r="D359" i="18"/>
  <c r="D360" i="18"/>
  <c r="D361" i="18"/>
  <c r="D362" i="18"/>
  <c r="D363" i="18"/>
  <c r="D364" i="18"/>
  <c r="D365" i="18"/>
  <c r="D366" i="18"/>
  <c r="D367" i="18"/>
  <c r="D368" i="18"/>
  <c r="D369" i="18"/>
  <c r="D370" i="18"/>
  <c r="D371" i="18"/>
  <c r="D372" i="18"/>
  <c r="D373" i="18"/>
  <c r="D2" i="18"/>
  <c r="D265" i="23" l="1"/>
  <c r="D263" i="23"/>
  <c r="D264" i="23"/>
  <c r="C9" i="22"/>
  <c r="C8" i="22"/>
  <c r="C7" i="22"/>
  <c r="C4" i="22"/>
  <c r="C6" i="22"/>
  <c r="AK34" i="17"/>
  <c r="AJ34" i="17"/>
  <c r="AI34" i="17"/>
  <c r="AH34" i="17"/>
  <c r="AG34" i="17"/>
  <c r="AF34" i="17"/>
  <c r="AE34" i="17"/>
  <c r="AD34" i="17"/>
  <c r="AC34" i="17"/>
  <c r="AB34" i="17"/>
  <c r="AA34" i="17"/>
  <c r="Z34" i="17"/>
  <c r="Y34" i="17"/>
  <c r="X34" i="17"/>
  <c r="W34" i="17"/>
  <c r="V34" i="17"/>
  <c r="U34" i="17"/>
  <c r="T34" i="17"/>
  <c r="S34" i="17"/>
  <c r="R34" i="17"/>
  <c r="Q34" i="17"/>
  <c r="P34" i="17"/>
  <c r="O34" i="17"/>
  <c r="N34" i="17"/>
  <c r="M34" i="17"/>
  <c r="L34" i="17"/>
  <c r="K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5" i="17"/>
  <c r="M83" i="16"/>
  <c r="M84" i="16" s="1"/>
  <c r="L83" i="16"/>
  <c r="L84" i="16" s="1"/>
  <c r="K83" i="16"/>
  <c r="K84" i="16" s="1"/>
  <c r="J83" i="16"/>
  <c r="J84" i="16" s="1"/>
  <c r="I83" i="16"/>
  <c r="I84" i="16" s="1"/>
  <c r="H83" i="16"/>
  <c r="H84" i="16" s="1"/>
  <c r="G83" i="16"/>
  <c r="G84" i="16" s="1"/>
  <c r="F83" i="16"/>
  <c r="F84" i="16" s="1"/>
  <c r="E83" i="16"/>
  <c r="E84" i="16" s="1"/>
  <c r="D83" i="16"/>
  <c r="D84" i="16" s="1"/>
  <c r="C83" i="16"/>
  <c r="C84" i="16" s="1"/>
  <c r="B83" i="16"/>
  <c r="B84" i="16" s="1"/>
  <c r="N82" i="16"/>
  <c r="N81" i="16"/>
  <c r="N80" i="16"/>
  <c r="N79" i="16"/>
  <c r="N78" i="16"/>
  <c r="N77" i="16"/>
  <c r="N76" i="16"/>
  <c r="N75" i="16"/>
  <c r="N74" i="16"/>
  <c r="N73" i="16"/>
  <c r="N72" i="16"/>
  <c r="N83" i="16" s="1"/>
  <c r="N70" i="16"/>
  <c r="M63" i="16"/>
  <c r="M64" i="16" s="1"/>
  <c r="L63" i="16"/>
  <c r="L64" i="16" s="1"/>
  <c r="K63" i="16"/>
  <c r="K64" i="16" s="1"/>
  <c r="J63" i="16"/>
  <c r="J64" i="16" s="1"/>
  <c r="I63" i="16"/>
  <c r="I64" i="16" s="1"/>
  <c r="H63" i="16"/>
  <c r="H64" i="16" s="1"/>
  <c r="G63" i="16"/>
  <c r="G64" i="16" s="1"/>
  <c r="F63" i="16"/>
  <c r="F64" i="16" s="1"/>
  <c r="E63" i="16"/>
  <c r="E64" i="16" s="1"/>
  <c r="D63" i="16"/>
  <c r="D64" i="16" s="1"/>
  <c r="C63" i="16"/>
  <c r="C64" i="16" s="1"/>
  <c r="B63" i="16"/>
  <c r="B64" i="16" s="1"/>
  <c r="N62" i="16"/>
  <c r="N61" i="16"/>
  <c r="N60" i="16"/>
  <c r="N59" i="16"/>
  <c r="N58" i="16"/>
  <c r="N57" i="16"/>
  <c r="N56" i="16"/>
  <c r="N55" i="16"/>
  <c r="N54" i="16"/>
  <c r="N53" i="16"/>
  <c r="N52" i="16"/>
  <c r="N63" i="16" s="1"/>
  <c r="N50" i="16"/>
  <c r="N64" i="16" s="1"/>
  <c r="M42" i="16"/>
  <c r="M43" i="16" s="1"/>
  <c r="L42" i="16"/>
  <c r="L43" i="16" s="1"/>
  <c r="K42" i="16"/>
  <c r="K43" i="16" s="1"/>
  <c r="J42" i="16"/>
  <c r="J43" i="16" s="1"/>
  <c r="I42" i="16"/>
  <c r="I43" i="16" s="1"/>
  <c r="H42" i="16"/>
  <c r="H43" i="16" s="1"/>
  <c r="G42" i="16"/>
  <c r="G43" i="16" s="1"/>
  <c r="F42" i="16"/>
  <c r="F43" i="16" s="1"/>
  <c r="E42" i="16"/>
  <c r="E43" i="16" s="1"/>
  <c r="D42" i="16"/>
  <c r="D43" i="16" s="1"/>
  <c r="C42" i="16"/>
  <c r="C43" i="16" s="1"/>
  <c r="B42" i="16"/>
  <c r="B43" i="16" s="1"/>
  <c r="N41" i="16"/>
  <c r="N40" i="16"/>
  <c r="N39" i="16"/>
  <c r="N38" i="16"/>
  <c r="N37" i="16"/>
  <c r="N36" i="16"/>
  <c r="N35" i="16"/>
  <c r="N34" i="16"/>
  <c r="N33" i="16"/>
  <c r="N32" i="16"/>
  <c r="N31" i="16"/>
  <c r="N42" i="16" s="1"/>
  <c r="N29" i="16"/>
  <c r="N43" i="16" s="1"/>
  <c r="M20" i="16"/>
  <c r="M21" i="16" s="1"/>
  <c r="L20" i="16"/>
  <c r="L21" i="16" s="1"/>
  <c r="K20" i="16"/>
  <c r="K21" i="16" s="1"/>
  <c r="J20" i="16"/>
  <c r="J21" i="16" s="1"/>
  <c r="I20" i="16"/>
  <c r="I21" i="16" s="1"/>
  <c r="H20" i="16"/>
  <c r="H21" i="16" s="1"/>
  <c r="G20" i="16"/>
  <c r="G21" i="16" s="1"/>
  <c r="F20" i="16"/>
  <c r="F21" i="16" s="1"/>
  <c r="E20" i="16"/>
  <c r="E21" i="16" s="1"/>
  <c r="D20" i="16"/>
  <c r="D21" i="16" s="1"/>
  <c r="C20" i="16"/>
  <c r="C21" i="16" s="1"/>
  <c r="B20" i="16"/>
  <c r="B21" i="16" s="1"/>
  <c r="N19" i="16"/>
  <c r="N18" i="16"/>
  <c r="N17" i="16"/>
  <c r="N16" i="16"/>
  <c r="N15" i="16"/>
  <c r="N14" i="16"/>
  <c r="N13" i="16"/>
  <c r="N12" i="16"/>
  <c r="N11" i="16"/>
  <c r="N10" i="16"/>
  <c r="N9" i="16"/>
  <c r="N20" i="16" s="1"/>
  <c r="N7" i="16"/>
  <c r="M8" i="13"/>
  <c r="L8" i="13"/>
  <c r="K8" i="13"/>
  <c r="M7" i="13"/>
  <c r="L7" i="13"/>
  <c r="K7" i="13"/>
  <c r="M6" i="13"/>
  <c r="L6" i="13"/>
  <c r="K6" i="13"/>
  <c r="M5" i="13"/>
  <c r="L5" i="13"/>
  <c r="K5" i="13"/>
  <c r="M4" i="13"/>
  <c r="L4" i="13"/>
  <c r="K4" i="13"/>
  <c r="Z260" i="1"/>
  <c r="Z263" i="1" s="1"/>
  <c r="AA260" i="1"/>
  <c r="AB260" i="1"/>
  <c r="AB263" i="1" s="1"/>
  <c r="AC260" i="1"/>
  <c r="AD260" i="1"/>
  <c r="Z261" i="1"/>
  <c r="AA261" i="1"/>
  <c r="AB261" i="1"/>
  <c r="AC261" i="1"/>
  <c r="AD261" i="1"/>
  <c r="Z262" i="1"/>
  <c r="AA262" i="1"/>
  <c r="AB262" i="1"/>
  <c r="AC262" i="1"/>
  <c r="AD262" i="1"/>
  <c r="Y262" i="1"/>
  <c r="Y265" i="1" s="1"/>
  <c r="Y261" i="1"/>
  <c r="Y264" i="1" s="1"/>
  <c r="Y260" i="1"/>
  <c r="Y263" i="1" s="1"/>
  <c r="W262" i="1"/>
  <c r="W261" i="1"/>
  <c r="W260" i="1"/>
  <c r="P260" i="1"/>
  <c r="Q260" i="1"/>
  <c r="R260" i="1"/>
  <c r="S260" i="1"/>
  <c r="T260" i="1"/>
  <c r="P261" i="1"/>
  <c r="Q261" i="1"/>
  <c r="R261" i="1"/>
  <c r="S261" i="1"/>
  <c r="T261" i="1"/>
  <c r="P262" i="1"/>
  <c r="Q262" i="1"/>
  <c r="R262" i="1"/>
  <c r="S262" i="1"/>
  <c r="T262" i="1"/>
  <c r="O262" i="1"/>
  <c r="O265" i="1" s="1"/>
  <c r="O261" i="1"/>
  <c r="O264" i="1" s="1"/>
  <c r="O260" i="1"/>
  <c r="O263" i="1" s="1"/>
  <c r="E261" i="1"/>
  <c r="E264" i="1" s="1"/>
  <c r="E262" i="1"/>
  <c r="E265" i="1" s="1"/>
  <c r="E260" i="1"/>
  <c r="E263" i="1" s="1"/>
  <c r="F263" i="1"/>
  <c r="G263" i="1"/>
  <c r="H263" i="1"/>
  <c r="I263" i="1"/>
  <c r="J263" i="1"/>
  <c r="K263" i="1"/>
  <c r="L263" i="1"/>
  <c r="M263" i="1"/>
  <c r="N263" i="1"/>
  <c r="P263" i="1"/>
  <c r="Q263" i="1"/>
  <c r="R263" i="1"/>
  <c r="S263" i="1"/>
  <c r="T263" i="1"/>
  <c r="U263" i="1"/>
  <c r="V263" i="1"/>
  <c r="W263" i="1"/>
  <c r="X263" i="1"/>
  <c r="AA263" i="1"/>
  <c r="AC263" i="1"/>
  <c r="AD263" i="1"/>
  <c r="F264" i="1"/>
  <c r="G264" i="1"/>
  <c r="H264" i="1"/>
  <c r="I264" i="1"/>
  <c r="J264" i="1"/>
  <c r="K264" i="1"/>
  <c r="L264" i="1"/>
  <c r="M264" i="1"/>
  <c r="N264" i="1"/>
  <c r="P264" i="1"/>
  <c r="Q264" i="1"/>
  <c r="R264" i="1"/>
  <c r="S264" i="1"/>
  <c r="T264" i="1"/>
  <c r="U264" i="1"/>
  <c r="V264" i="1"/>
  <c r="W264" i="1"/>
  <c r="X264" i="1"/>
  <c r="Z264" i="1"/>
  <c r="AA264" i="1"/>
  <c r="AB264" i="1"/>
  <c r="AC264" i="1"/>
  <c r="AD264" i="1"/>
  <c r="F265" i="1"/>
  <c r="G265" i="1"/>
  <c r="H265" i="1"/>
  <c r="I265" i="1"/>
  <c r="J265" i="1"/>
  <c r="K265" i="1"/>
  <c r="L265" i="1"/>
  <c r="M265" i="1"/>
  <c r="N265" i="1"/>
  <c r="P265" i="1"/>
  <c r="Q265" i="1"/>
  <c r="R265" i="1"/>
  <c r="S265" i="1"/>
  <c r="T265" i="1"/>
  <c r="U265" i="1"/>
  <c r="V265" i="1"/>
  <c r="W265" i="1"/>
  <c r="X265" i="1"/>
  <c r="Z265" i="1"/>
  <c r="AA265" i="1"/>
  <c r="AB265" i="1"/>
  <c r="AC265" i="1"/>
  <c r="AD265" i="1"/>
  <c r="D264" i="1"/>
  <c r="D265" i="1"/>
  <c r="D263" i="1"/>
  <c r="C10" i="22" l="1"/>
  <c r="N84" i="16"/>
  <c r="N21"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8EB042-3BF2-4E2D-BC12-32ECE99E7AF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41B5560C-FB5E-4210-98C2-EDF99BDCFC91}"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3" xr16:uid="{544DEC02-0F39-4011-A909-6ED213CE8877}"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4" xr16:uid="{AAEED180-F687-4A88-8B0D-8CC95C55F290}"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<sst xmlns="http://schemas.openxmlformats.org/spreadsheetml/2006/main" count="2881" uniqueCount="159">
  <si>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</si>
  <si>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</si>
  <si>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</si>
  <si>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</si>
  <si>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</si>
  <si>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</si>
  <si>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</si>
  <si>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</si>
  <si>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</si>
  <si>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</si>
  <si>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</si>
  <si>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</si>
  <si>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</si>
  <si>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</si>
  <si>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</si>
  <si>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</si>
  <si>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</si>
  <si>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</si>
  <si>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</si>
  <si>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</si>
  <si>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</si>
  <si>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</si>
  <si>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</si>
  <si>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</si>
  <si>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</si>
  <si>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</si>
  <si>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</si>
  <si>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</si>
  <si>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</si>
  <si>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</si>
  <si>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</si>
  <si>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</si>
  <si>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</si>
  <si>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</si>
  <si>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</si>
  <si>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</si>
  <si>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</si>
  <si>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</si>
  <si>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</si>
  <si>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</si>
  <si>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</si>
  <si>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</si>
  <si>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</si>
  <si>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</si>
  <si>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</si>
  <si>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</si>
  <si>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FOOD</t>
  </si>
  <si>
    <t>MISCELLANEOUS</t>
  </si>
  <si>
    <t>APPAREL</t>
  </si>
  <si>
    <t>HOUSING</t>
  </si>
  <si>
    <t>TRANSPORT</t>
  </si>
  <si>
    <t>GENERAL INDEX</t>
  </si>
  <si>
    <t>MEDICAL CARE</t>
  </si>
  <si>
    <t>TOTAL</t>
  </si>
  <si>
    <t>% CONTRIBUTION</t>
  </si>
  <si>
    <t>Grand Total</t>
  </si>
  <si>
    <t>YOY=</t>
  </si>
  <si>
    <t>((CPI END YR-CPI FIRST YR)/CPI FIRST YR)*100</t>
  </si>
  <si>
    <t>Period</t>
  </si>
  <si>
    <t>Main Reason for Inflation Increase</t>
  </si>
  <si>
    <t>2017–2019</t>
  </si>
  <si>
    <t>Gradual rise in food, housing, transport, fuel prices</t>
  </si>
  <si>
    <t>COVID lockdowns, supply chain disruptions</t>
  </si>
  <si>
    <t>Fuel price rise, edible oil inflation, recovery demand</t>
  </si>
  <si>
    <t>Russia-Ukraine war, global crude oil &amp; food crisis</t>
  </si>
  <si>
    <r>
      <t xml:space="preserve">The increase in YOY CPI (Consumer Price Index) Rural + Urban inflation from 2017 onward happened due to a mix of </t>
    </r>
    <r>
      <rPr>
        <b/>
        <sz val="11"/>
        <color theme="1"/>
        <rFont val="Aptos Narrow"/>
        <family val="2"/>
        <scheme val="minor"/>
      </rPr>
      <t>food prices, fuel costs, supply disruptions, COVID effects, and global commodity increases</t>
    </r>
    <r>
      <rPr>
        <sz val="11"/>
        <color theme="1"/>
        <rFont val="Aptos Narrow"/>
        <family val="2"/>
        <scheme val="minor"/>
      </rPr>
      <t>.</t>
    </r>
  </si>
  <si>
    <t>2022 CPI inflation was higher because:</t>
  </si>
  <si>
    <t>Food became expensive</t>
  </si>
  <si>
    <t>Fuel prices increased</t>
  </si>
  <si>
    <t>Russia–Ukraine war affected global markets</t>
  </si>
  <si>
    <t>Supply chains were disrupted</t>
  </si>
  <si>
    <t>Demand recovered faster than supply</t>
  </si>
  <si>
    <t xml:space="preserve">FOOD </t>
  </si>
  <si>
    <t xml:space="preserve">HEALTH </t>
  </si>
  <si>
    <t xml:space="preserve">ESSENTIAL </t>
  </si>
  <si>
    <t xml:space="preserve">Categroy </t>
  </si>
  <si>
    <t xml:space="preserve">Y-O-Y Food </t>
  </si>
  <si>
    <t xml:space="preserve">Y-O-Y Health </t>
  </si>
  <si>
    <t xml:space="preserve">Y-O-Y essential </t>
  </si>
  <si>
    <t xml:space="preserve">Pre - covid </t>
  </si>
  <si>
    <t xml:space="preserve">Covid </t>
  </si>
  <si>
    <t>Post-Covid</t>
  </si>
  <si>
    <t>Website Used - https://ppac.gov.in/prices/international-prices-of-crude-oil</t>
  </si>
  <si>
    <t>Import/Export of Crude oil and Petroleum Products IN 2020-21</t>
  </si>
  <si>
    <t>IMPORT/EXPORT</t>
  </si>
  <si>
    <t>APRIL</t>
  </si>
  <si>
    <t>MAY</t>
  </si>
  <si>
    <t>JUNE</t>
  </si>
  <si>
    <t>JULY</t>
  </si>
  <si>
    <t>AUGUST</t>
  </si>
  <si>
    <t>SEPTEMBER</t>
  </si>
  <si>
    <t>OCTOBER</t>
  </si>
  <si>
    <t>NOVEMBER</t>
  </si>
  <si>
    <t>DECEMBER</t>
  </si>
  <si>
    <t>JANUARY</t>
  </si>
  <si>
    <t>FEBRUARY</t>
  </si>
  <si>
    <t>MARCH</t>
  </si>
  <si>
    <t>IMPORT^</t>
  </si>
  <si>
    <t xml:space="preserve"> CRUDE OIL</t>
  </si>
  <si>
    <t>PRODUCTS</t>
  </si>
  <si>
    <t>LPG</t>
  </si>
  <si>
    <t>MS</t>
  </si>
  <si>
    <t>Naphtha</t>
  </si>
  <si>
    <t>ATF</t>
  </si>
  <si>
    <t>SKO</t>
  </si>
  <si>
    <t>HSD</t>
  </si>
  <si>
    <t>LOBS/ Lube oil</t>
  </si>
  <si>
    <t>Fuel Oil</t>
  </si>
  <si>
    <t>Bitumen</t>
  </si>
  <si>
    <t>Petcoke</t>
  </si>
  <si>
    <t>Others&amp;</t>
  </si>
  <si>
    <t>PRODUCT IMPORT*</t>
  </si>
  <si>
    <t>TOTAL IMPORT</t>
  </si>
  <si>
    <t>Import/Export of Crude oil and Petroleum Products IN 2021-22</t>
  </si>
  <si>
    <t>Import/Export of Crude oil and Petroleum Products IN 2022-23</t>
  </si>
  <si>
    <t>Import/Export of Crude oil and Petroleum Products IN 2023-24</t>
  </si>
  <si>
    <t>Crude Oil</t>
  </si>
  <si>
    <t xml:space="preserve">Year-Month </t>
  </si>
  <si>
    <t>Crude Oil Value in Rupees</t>
  </si>
  <si>
    <t>Categories</t>
  </si>
  <si>
    <t>Area</t>
  </si>
  <si>
    <t>Bucket</t>
  </si>
  <si>
    <t>Correlation (2021-2023)</t>
  </si>
  <si>
    <t>Rural + Urban</t>
  </si>
  <si>
    <t xml:space="preserve">Food </t>
  </si>
  <si>
    <t xml:space="preserve">Health </t>
  </si>
  <si>
    <t>miscelleneous</t>
  </si>
  <si>
    <t>apparel</t>
  </si>
  <si>
    <t>housing</t>
  </si>
  <si>
    <t>travel</t>
  </si>
  <si>
    <t>Sum of FOOD</t>
  </si>
  <si>
    <t>Sum of APPAREL</t>
  </si>
  <si>
    <t>Sum of TRANSPORT</t>
  </si>
  <si>
    <t>Sum of MEDICAL CARE</t>
  </si>
  <si>
    <t>Values</t>
  </si>
  <si>
    <t>Total</t>
  </si>
  <si>
    <t>year-month</t>
  </si>
  <si>
    <t>Sum of MISCELLANEOUS</t>
  </si>
  <si>
    <t>Sum of HOUSING</t>
  </si>
  <si>
    <t>2023-May</t>
  </si>
  <si>
    <t>GRAND TOTAL</t>
  </si>
  <si>
    <t>CPI I/R(YOY)</t>
  </si>
  <si>
    <t>Avg General index</t>
  </si>
  <si>
    <t>2022 Total</t>
  </si>
  <si>
    <t>2023 Total</t>
  </si>
  <si>
    <t>% MOM</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</si>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</sst>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charset val="134"/>
      <scheme val="minor"/>
    </font>
    <font>
      <sz val="10"/>
      <name val="Arial"/>
      <charset val="134"/>
    </font>
    <font>
      <b/>
      <sz val="14"/>
      <name val="Times New Roman"/>
      <charset val="134"/>
    </font>
    <font>
      <sz val="12"/>
      <name val="Arial"/>
      <charset val="134"/>
    </font>
    <font>
      <sz val="8"/>
      <name val="Arial"/>
      <charset val="134"/>
    </font>
    <font>
      <b/>
      <sz val="12"/>
      <color theme="1"/>
      <name val="Times New Roman"/>
      <charset val="134"/>
    </font>
    <font>
      <b/>
      <sz val="10"/>
      <name val="Times New Roman"/>
      <charset val="134"/>
    </font>
    <font>
      <sz val="11"/>
      <name val="Times New Roman"/>
      <charset val="134"/>
    </font>
    <font>
      <b/>
      <sz val="11"/>
      <name val="Times New Roman"/>
      <charset val="134"/>
    </font>
    <font>
      <sz val="11"/>
      <color theme="1"/>
      <name val="Times New Roman"/>
      <charset val="134"/>
    </font>
    <font>
      <sz val="12"/>
      <color rgb="FFFF0000"/>
      <name val="Aptos Narrow"/>
      <family val="2"/>
      <scheme val="minor"/>
    </font>
    <font>
      <sz val="12"/>
      <color theme="1"/>
      <name val="Aptos Narrow"/>
      <family val="2"/>
      <scheme val="minor"/>
    </font>
    <font>
      <b/>
      <sz val="11"/>
      <color theme="8" tint="-0.499984740745262"/>
      <name val="Aptos Narrow"/>
      <family val="2"/>
      <scheme val="minor"/>
    </font>
    <font>
      <sz val="11"/>
      <color theme="5" tint="-0.249977111117893"/>
      <name val="Aptos Narrow"/>
      <family val="2"/>
      <scheme val="minor"/>
    </font>
    <font>
      <b/>
      <sz val="14"/>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0"/>
        <bgColor indexed="64"/>
      </patternFill>
    </fill>
    <fill>
      <patternFill patternType="solid">
        <fgColor theme="0" tint="-0.14996795556505021"/>
        <bgColor indexed="64"/>
      </patternFill>
    </fill>
    <fill>
      <patternFill patternType="solid">
        <fgColor theme="3" tint="0.49998474074526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3" tint="0.74999237037263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right style="thin">
        <color auto="1"/>
      </right>
      <top style="thin">
        <color auto="1"/>
      </top>
      <bottom style="thin">
        <color auto="1"/>
      </bottom>
      <diagonal/>
    </border>
    <border>
      <left/>
      <right/>
      <top/>
      <bottom style="thin">
        <color indexed="64"/>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1" fillId="0" borderId="0"/>
    <xf numFmtId="0" fontId="22" fillId="0" borderId="0"/>
  </cellStyleXfs>
  <cellXfs count="56">
    <xf numFmtId="0" fontId="0" fillId="0" borderId="0" xfId="0"/>
    <xf numFmtId="164" fontId="0" fillId="0" borderId="0" xfId="0" applyNumberFormat="1"/>
    <xf numFmtId="0" fontId="0" fillId="0" borderId="10" xfId="0" applyBorder="1"/>
    <xf numFmtId="0" fontId="0" fillId="0" borderId="0" xfId="0" pivotButton="1"/>
    <xf numFmtId="0" fontId="0" fillId="0" borderId="0" xfId="0" applyAlignment="1">
      <alignment horizontal="center" vertical="center" wrapText="1"/>
    </xf>
    <xf numFmtId="0" fontId="16" fillId="0" borderId="0" xfId="0" applyFont="1" applyAlignment="1">
      <alignment horizontal="center" vertical="center" wrapText="1"/>
    </xf>
    <xf numFmtId="9" fontId="0" fillId="0" borderId="10" xfId="1" applyFont="1" applyBorder="1"/>
    <xf numFmtId="10" fontId="0" fillId="0" borderId="10" xfId="1" applyNumberFormat="1" applyFont="1" applyBorder="1"/>
    <xf numFmtId="10" fontId="0" fillId="0" borderId="10" xfId="0" applyNumberFormat="1" applyBorder="1"/>
    <xf numFmtId="0" fontId="18" fillId="0" borderId="10" xfId="0" applyFont="1" applyBorder="1"/>
    <xf numFmtId="0" fontId="18" fillId="33" borderId="10" xfId="0" applyFont="1" applyFill="1" applyBorder="1"/>
    <xf numFmtId="0" fontId="18" fillId="33" borderId="11" xfId="0" applyFont="1" applyFill="1" applyBorder="1"/>
    <xf numFmtId="1" fontId="23" fillId="34" borderId="10" xfId="45" applyNumberFormat="1" applyFont="1" applyFill="1" applyBorder="1" applyAlignment="1">
      <alignment horizontal="left"/>
    </xf>
    <xf numFmtId="1" fontId="24" fillId="34" borderId="10" xfId="45" applyNumberFormat="1" applyFont="1" applyFill="1" applyBorder="1" applyAlignment="1">
      <alignment horizontal="center"/>
    </xf>
    <xf numFmtId="1" fontId="23" fillId="34" borderId="10" xfId="45" applyNumberFormat="1" applyFont="1" applyFill="1" applyBorder="1" applyAlignment="1">
      <alignment horizontal="center"/>
    </xf>
    <xf numFmtId="1" fontId="25" fillId="34" borderId="10" xfId="45" applyNumberFormat="1" applyFont="1" applyFill="1" applyBorder="1" applyAlignment="1">
      <alignment horizontal="right"/>
    </xf>
    <xf numFmtId="1" fontId="26" fillId="34" borderId="10" xfId="45" applyNumberFormat="1" applyFont="1" applyFill="1" applyBorder="1" applyAlignment="1">
      <alignment horizontal="right"/>
    </xf>
    <xf numFmtId="1" fontId="27" fillId="34" borderId="10" xfId="45" applyNumberFormat="1" applyFont="1" applyFill="1" applyBorder="1" applyAlignment="1">
      <alignment horizontal="right"/>
    </xf>
    <xf numFmtId="3" fontId="27" fillId="34" borderId="10" xfId="45" applyNumberFormat="1" applyFont="1" applyFill="1" applyBorder="1" applyAlignment="1">
      <alignment horizontal="right"/>
    </xf>
    <xf numFmtId="0" fontId="23" fillId="35" borderId="10" xfId="44" applyFont="1" applyFill="1" applyBorder="1" applyAlignment="1">
      <alignment horizontal="center"/>
    </xf>
    <xf numFmtId="1" fontId="26" fillId="35" borderId="10" xfId="44" applyNumberFormat="1" applyFont="1" applyFill="1" applyBorder="1" applyAlignment="1">
      <alignment horizontal="right"/>
    </xf>
    <xf numFmtId="0" fontId="23" fillId="35" borderId="10" xfId="44" applyFont="1" applyFill="1" applyBorder="1"/>
    <xf numFmtId="0" fontId="20" fillId="36" borderId="10" xfId="44" applyFont="1" applyFill="1" applyBorder="1" applyAlignment="1">
      <alignment horizontal="center" vertical="center" wrapText="1"/>
    </xf>
    <xf numFmtId="0" fontId="20" fillId="36" borderId="10" xfId="44" applyFont="1" applyFill="1" applyBorder="1" applyAlignment="1">
      <alignment horizontal="center" vertical="center"/>
    </xf>
    <xf numFmtId="0" fontId="18" fillId="0" borderId="12" xfId="0" applyFont="1" applyBorder="1" applyAlignment="1">
      <alignment wrapText="1"/>
    </xf>
    <xf numFmtId="0" fontId="0" fillId="38" borderId="0" xfId="0" applyFill="1"/>
    <xf numFmtId="164" fontId="0" fillId="38" borderId="0" xfId="0" applyNumberFormat="1" applyFill="1"/>
    <xf numFmtId="0" fontId="0" fillId="39" borderId="0" xfId="0" applyFill="1"/>
    <xf numFmtId="164" fontId="14" fillId="39" borderId="0" xfId="0" applyNumberFormat="1" applyFont="1" applyFill="1"/>
    <xf numFmtId="0" fontId="14" fillId="39" borderId="0" xfId="0" applyFont="1" applyFill="1"/>
    <xf numFmtId="0" fontId="16" fillId="0" borderId="0" xfId="0" applyFont="1"/>
    <xf numFmtId="14" fontId="0" fillId="0" borderId="0" xfId="0" applyNumberFormat="1"/>
    <xf numFmtId="0" fontId="28" fillId="39" borderId="0" xfId="0" applyFont="1" applyFill="1"/>
    <xf numFmtId="0" fontId="0" fillId="0" borderId="10" xfId="0" pivotButton="1" applyBorder="1"/>
    <xf numFmtId="0" fontId="16" fillId="37" borderId="10" xfId="0" applyFont="1" applyFill="1" applyBorder="1"/>
    <xf numFmtId="0" fontId="16" fillId="40" borderId="10" xfId="0" applyFont="1" applyFill="1" applyBorder="1"/>
    <xf numFmtId="9" fontId="16" fillId="40" borderId="10" xfId="0" applyNumberFormat="1" applyFont="1" applyFill="1" applyBorder="1"/>
    <xf numFmtId="0" fontId="16" fillId="0" borderId="0" xfId="0" pivotButton="1" applyFont="1"/>
    <xf numFmtId="0" fontId="29" fillId="0" borderId="0" xfId="0" applyFont="1"/>
    <xf numFmtId="1" fontId="0" fillId="0" borderId="0" xfId="0" applyNumberFormat="1" applyAlignment="1">
      <alignment horizontal="center"/>
    </xf>
    <xf numFmtId="10" fontId="0" fillId="0" borderId="0" xfId="1" applyNumberFormat="1" applyFont="1" applyAlignment="1">
      <alignment horizontal="center"/>
    </xf>
    <xf numFmtId="165" fontId="0" fillId="0" borderId="0" xfId="1" applyNumberFormat="1" applyFont="1" applyAlignment="1">
      <alignment horizontal="center"/>
    </xf>
    <xf numFmtId="0" fontId="0" fillId="34" borderId="0" xfId="0" applyFill="1"/>
    <xf numFmtId="0" fontId="30" fillId="0" borderId="13" xfId="0" applyFont="1" applyBorder="1"/>
    <xf numFmtId="0" fontId="0" fillId="40" borderId="0" xfId="0" applyFill="1"/>
    <xf numFmtId="10" fontId="0" fillId="0" borderId="0" xfId="1" applyNumberFormat="1" applyFont="1"/>
    <xf numFmtId="0" fontId="31" fillId="38" borderId="0" xfId="0" applyFont="1" applyFill="1"/>
    <xf numFmtId="164" fontId="31" fillId="38" borderId="0" xfId="0" applyNumberFormat="1" applyFont="1" applyFill="1"/>
    <xf numFmtId="2" fontId="0" fillId="0" borderId="10" xfId="1" applyNumberFormat="1" applyFont="1" applyBorder="1"/>
    <xf numFmtId="0" fontId="32" fillId="0" borderId="10" xfId="0" applyFont="1" applyBorder="1"/>
    <xf numFmtId="0" fontId="0" fillId="41" borderId="10" xfId="0" applyFill="1" applyBorder="1"/>
    <xf numFmtId="0" fontId="16" fillId="0" borderId="0" xfId="0" applyFont="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xf>
    <xf numFmtId="0" fontId="0" fillId="0" borderId="0" xfId="0" applyAlignment="1">
      <alignment horizontal="center"/>
    </xf>
    <xf numFmtId="0" fontId="20" fillId="36" borderId="10" xfId="43"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2 3 5" xfId="45" xr:uid="{4A339ED2-5866-40E5-9C56-7E62006EA10C}"/>
    <cellStyle name="Normal 259" xfId="44" xr:uid="{6E78047A-F50E-433D-95AE-BF0133D53608}"/>
    <cellStyle name="Normal 4 2" xfId="43" xr:uid="{87E89555-B67C-4BE9-B6D6-29ADE08084C9}"/>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8">
    <dxf>
      <numFmt numFmtId="0" formatCode="General"/>
    </dxf>
    <dxf>
      <numFmt numFmtId="0" formatCode="General"/>
    </dxf>
    <dxf>
      <numFmt numFmtId="14"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yy"/>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1"/>
        <color theme="5" tint="-0.249977111117893"/>
        <name val="Aptos Narrow"/>
        <family val="2"/>
        <scheme val="minor"/>
      </font>
      <numFmt numFmtId="164" formatCode="0.0"/>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3.xlsx]Q1(A,B)!PivotTable2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CONTRIBUTION OF EACH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6426100710923"/>
          <c:y val="0.24804123711340209"/>
          <c:w val="0.68028562861761488"/>
          <c:h val="0.66948453608247427"/>
        </c:manualLayout>
      </c:layout>
      <c:barChart>
        <c:barDir val="bar"/>
        <c:grouping val="clustered"/>
        <c:varyColors val="0"/>
        <c:ser>
          <c:idx val="0"/>
          <c:order val="0"/>
          <c:tx>
            <c:strRef>
              <c:f>'Q1(A,B)'!$B$3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'Q1(A,B)'!$A$4:$A$9</c:f>
              <c:strCache>
                <c:ptCount val="6"/>
                <c:pt idx="0">
                  <c:v>Sum of FOOD</c:v>
                </c:pt>
                <c:pt idx="1">
                  <c:v>Sum of MISCELLANEOUS</c:v>
                </c:pt>
                <c:pt idx="2">
                  <c:v>Sum of APPAREL</c:v>
                </c:pt>
                <c:pt idx="3">
                  <c:v>Sum of HOUSING</c:v>
                </c:pt>
                <c:pt idx="4">
                  <c:v>Sum of TRANSPORT</c:v>
                </c:pt>
                <c:pt idx="5">
                  <c:v>Sum of MEDICAL CARE</c:v>
                </c:pt>
              </c:strCache>
            </c:strRef>
          </c:cat>
          <c:val>
            <c:numRef>
              <c:f>'Q1(A,B)'!$B$4:$B$9</c:f>
              <c:numCache>
                <c:formatCode>General</c:formatCode>
                <c:ptCount val="6"/>
                <c:pt idx="0">
                  <c:v>6932.7000000000007</c:v>
                </c:pt>
                <c:pt idx="1">
                  <c:v>1646.1000000000001</c:v>
                </c:pt>
                <c:pt idx="2">
                  <c:v>1651.8000000000002</c:v>
                </c:pt>
                <c:pt idx="3">
                  <c:v>1584.1000000000001</c:v>
                </c:pt>
                <c:pt idx="4">
                  <c:v>1043.6000000000001</c:v>
                </c:pt>
                <c:pt idx="5">
                  <c:v>1111.4000000000001</c:v>
                </c:pt>
              </c:numCache>
            </c:numRef>
          </c:val>
          <c:extLst>
            <c:ext xmlns:c16="http://schemas.microsoft.com/office/drawing/2014/chart" uri="{C3380CC4-5D6E-409C-BE32-E72D297353CC}">
              <c16:uniqueId val="{00000000-708D-448D-B563-EBCAAAFB0779}"/>
            </c:ext>
          </c:extLst>
        </c:ser>
        <c:dLbls>
          <c:dLblPos val="outEnd"/>
          <c:showLegendKey val="0"/>
          <c:showVal val="1"/>
          <c:showCatName val="0"/>
          <c:showSerName val="0"/>
          <c:showPercent val="0"/>
          <c:showBubbleSize val="0"/>
        </c:dLbls>
        <c:gapWidth val="100"/>
        <c:axId val="305943407"/>
        <c:axId val="305943887"/>
      </c:barChart>
      <c:catAx>
        <c:axId val="3059434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5943887"/>
        <c:crosses val="autoZero"/>
        <c:auto val="1"/>
        <c:lblAlgn val="ctr"/>
        <c:lblOffset val="100"/>
        <c:noMultiLvlLbl val="0"/>
      </c:catAx>
      <c:valAx>
        <c:axId val="305943887"/>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30594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I/r- RURAL+URBAN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6.1111111111111102E-2"/>
          <c:y val="0.17336655592469546"/>
          <c:w val="0.93888888888888888"/>
          <c:h val="0.72696566998892576"/>
        </c:manualLayout>
      </c:layout>
      <c:lineChart>
        <c:grouping val="standard"/>
        <c:varyColors val="0"/>
        <c:ser>
          <c:idx val="1"/>
          <c:order val="0"/>
          <c:tx>
            <c:strRef>
              <c:f>'Q2'!$D$5</c:f>
              <c:strCache>
                <c:ptCount val="1"/>
                <c:pt idx="0">
                  <c:v>CPI I/R(YOY)</c:v>
                </c:pt>
              </c:strCache>
            </c:strRef>
          </c:tx>
          <c:spPr>
            <a:ln w="25400" cap="rnd">
              <a:solidFill>
                <a:schemeClr val="lt1"/>
              </a:solidFill>
              <a:round/>
            </a:ln>
            <a:effectLst>
              <a:outerShdw dist="25400" dir="2700000" algn="tl" rotWithShape="0">
                <a:schemeClr val="accent2"/>
              </a:outerShdw>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'Q2'!$A$6:$B$13</c:f>
              <c:strCache>
                <c:ptCount val="8"/>
                <c:pt idx="0">
                  <c:v>2016</c:v>
                </c:pt>
                <c:pt idx="1">
                  <c:v>2017</c:v>
                </c:pt>
                <c:pt idx="2">
                  <c:v>2018</c:v>
                </c:pt>
                <c:pt idx="3">
                  <c:v>2019</c:v>
                </c:pt>
                <c:pt idx="4">
                  <c:v>2020</c:v>
                </c:pt>
                <c:pt idx="5">
                  <c:v>2021</c:v>
                </c:pt>
                <c:pt idx="6">
                  <c:v>2022</c:v>
                </c:pt>
                <c:pt idx="7">
                  <c:v>TOTAL</c:v>
                </c:pt>
              </c:strCache>
            </c:strRef>
          </c:cat>
          <c:val>
            <c:numRef>
              <c:f>'Q2'!$D$6:$D$13</c:f>
              <c:numCache>
                <c:formatCode>0.0%</c:formatCode>
                <c:ptCount val="8"/>
                <c:pt idx="1">
                  <c:v>3.3281733746130124E-2</c:v>
                </c:pt>
                <c:pt idx="2">
                  <c:v>3.9513108614232254E-2</c:v>
                </c:pt>
                <c:pt idx="3">
                  <c:v>3.8961038961038953E-2</c:v>
                </c:pt>
                <c:pt idx="4">
                  <c:v>6.0582177385455974E-2</c:v>
                </c:pt>
                <c:pt idx="5">
                  <c:v>5.5858310626703121E-2</c:v>
                </c:pt>
                <c:pt idx="6">
                  <c:v>6.6219354838709651E-2</c:v>
                </c:pt>
              </c:numCache>
            </c:numRef>
          </c:val>
          <c:smooth val="0"/>
          <c:extLst>
            <c:ext xmlns:c16="http://schemas.microsoft.com/office/drawing/2014/chart" uri="{C3380CC4-5D6E-409C-BE32-E72D297353CC}">
              <c16:uniqueId val="{00000001-F1EE-4CE7-89C9-B83E2D46FCF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417951487"/>
        <c:axId val="417938527"/>
      </c:lineChart>
      <c:catAx>
        <c:axId val="417951487"/>
        <c:scaling>
          <c:orientation val="minMax"/>
        </c:scaling>
        <c:delete val="1"/>
        <c:axPos val="b"/>
        <c:numFmt formatCode="General" sourceLinked="1"/>
        <c:majorTickMark val="none"/>
        <c:minorTickMark val="none"/>
        <c:tickLblPos val="nextTo"/>
        <c:crossAx val="417938527"/>
        <c:crosses val="autoZero"/>
        <c:auto val="1"/>
        <c:lblAlgn val="ctr"/>
        <c:lblOffset val="100"/>
        <c:noMultiLvlLbl val="0"/>
      </c:catAx>
      <c:valAx>
        <c:axId val="417938527"/>
        <c:scaling>
          <c:orientation val="minMax"/>
        </c:scaling>
        <c:delete val="1"/>
        <c:axPos val="l"/>
        <c:numFmt formatCode="0.00%" sourceLinked="1"/>
        <c:majorTickMark val="none"/>
        <c:minorTickMark val="none"/>
        <c:tickLblPos val="nextTo"/>
        <c:crossAx val="41795148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a:t>PRE</a:t>
            </a:r>
            <a:r>
              <a:rPr lang="en-IN" baseline="0"/>
              <a:t> AND POST COVID</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'[1]Question-4'!$K$32</c:f>
              <c:strCache>
                <c:ptCount val="1"/>
                <c:pt idx="0">
                  <c:v>Y-O-Y Food </c:v>
                </c:pt>
              </c:strCache>
            </c:strRef>
          </c:tx>
          <c:spPr>
            <a:solidFill>
              <a:schemeClr val="accent1"/>
            </a:solidFill>
            <a:ln>
              <a:noFill/>
            </a:ln>
            <a:effectLst/>
          </c:spPr>
          <c:invertIfNegative val="0"/>
          <c:cat>
            <c:multiLvlStrRef>
              <c:f>'[1]Question-4'!$I$33:$J$37</c:f>
              <c:multiLvlStrCache>
                <c:ptCount val="5"/>
                <c:lvl>
                  <c:pt idx="0">
                    <c:v>2018</c:v>
                  </c:pt>
                  <c:pt idx="1">
                    <c:v>2019</c:v>
                  </c:pt>
                  <c:pt idx="2">
                    <c:v>2020</c:v>
                  </c:pt>
                  <c:pt idx="3">
                    <c:v>2021</c:v>
                  </c:pt>
                  <c:pt idx="4">
                    <c:v>2022</c:v>
                  </c:pt>
                </c:lvl>
                <c:lvl>
                  <c:pt idx="0">
                    <c:v>Pre - covid </c:v>
                  </c:pt>
                  <c:pt idx="2">
                    <c:v>Covid </c:v>
                  </c:pt>
                  <c:pt idx="3">
                    <c:v>Post-Covid</c:v>
                  </c:pt>
                </c:lvl>
              </c:multiLvlStrCache>
            </c:multiLvlStrRef>
          </c:cat>
          <c:val>
            <c:numRef>
              <c:f>'[1]Question-4'!$K$33:$K$37</c:f>
              <c:numCache>
                <c:formatCode>General</c:formatCode>
                <c:ptCount val="5"/>
                <c:pt idx="0">
                  <c:v>-9.6072813079388503E-3</c:v>
                </c:pt>
                <c:pt idx="1">
                  <c:v>0.109900764229497</c:v>
                </c:pt>
                <c:pt idx="2">
                  <c:v>8.6940836940836999E-2</c:v>
                </c:pt>
                <c:pt idx="3">
                  <c:v>5.0276908259089897E-2</c:v>
                </c:pt>
                <c:pt idx="4">
                  <c:v>5.5078088901210701E-2</c:v>
                </c:pt>
              </c:numCache>
            </c:numRef>
          </c:val>
          <c:extLst>
            <c:ext xmlns:c16="http://schemas.microsoft.com/office/drawing/2014/chart" uri="{C3380CC4-5D6E-409C-BE32-E72D297353CC}">
              <c16:uniqueId val="{00000000-1178-47F2-BC0B-B0E848EAB030}"/>
            </c:ext>
          </c:extLst>
        </c:ser>
        <c:ser>
          <c:idx val="1"/>
          <c:order val="1"/>
          <c:tx>
            <c:strRef>
              <c:f>'[1]Question-4'!$L$32</c:f>
              <c:strCache>
                <c:ptCount val="1"/>
                <c:pt idx="0">
                  <c:v>Y-O-Y Health </c:v>
                </c:pt>
              </c:strCache>
            </c:strRef>
          </c:tx>
          <c:spPr>
            <a:solidFill>
              <a:schemeClr val="accent2"/>
            </a:solidFill>
            <a:ln>
              <a:noFill/>
            </a:ln>
            <a:effectLst/>
          </c:spPr>
          <c:invertIfNegative val="0"/>
          <c:cat>
            <c:multiLvlStrRef>
              <c:f>'[1]Question-4'!$I$33:$J$37</c:f>
              <c:multiLvlStrCache>
                <c:ptCount val="5"/>
                <c:lvl>
                  <c:pt idx="0">
                    <c:v>2018</c:v>
                  </c:pt>
                  <c:pt idx="1">
                    <c:v>2019</c:v>
                  </c:pt>
                  <c:pt idx="2">
                    <c:v>2020</c:v>
                  </c:pt>
                  <c:pt idx="3">
                    <c:v>2021</c:v>
                  </c:pt>
                  <c:pt idx="4">
                    <c:v>2022</c:v>
                  </c:pt>
                </c:lvl>
                <c:lvl>
                  <c:pt idx="0">
                    <c:v>Pre - covid </c:v>
                  </c:pt>
                  <c:pt idx="2">
                    <c:v>Covid </c:v>
                  </c:pt>
                  <c:pt idx="3">
                    <c:v>Post-Covid</c:v>
                  </c:pt>
                </c:lvl>
              </c:multiLvlStrCache>
            </c:multiLvlStrRef>
          </c:cat>
          <c:val>
            <c:numRef>
              <c:f>'[1]Question-4'!$L$33:$L$37</c:f>
              <c:numCache>
                <c:formatCode>General</c:formatCode>
                <c:ptCount val="5"/>
                <c:pt idx="0">
                  <c:v>6.3315425940138101E-2</c:v>
                </c:pt>
                <c:pt idx="1">
                  <c:v>4.6419575386829899E-2</c:v>
                </c:pt>
                <c:pt idx="2">
                  <c:v>7.4616695059625093E-2</c:v>
                </c:pt>
                <c:pt idx="3">
                  <c:v>5.40968048086048E-2</c:v>
                </c:pt>
                <c:pt idx="4">
                  <c:v>6.7284688995215294E-2</c:v>
                </c:pt>
              </c:numCache>
            </c:numRef>
          </c:val>
          <c:extLst>
            <c:ext xmlns:c16="http://schemas.microsoft.com/office/drawing/2014/chart" uri="{C3380CC4-5D6E-409C-BE32-E72D297353CC}">
              <c16:uniqueId val="{00000001-1178-47F2-BC0B-B0E848EAB030}"/>
            </c:ext>
          </c:extLst>
        </c:ser>
        <c:ser>
          <c:idx val="2"/>
          <c:order val="2"/>
          <c:tx>
            <c:strRef>
              <c:f>'[1]Question-4'!$M$32</c:f>
              <c:strCache>
                <c:ptCount val="1"/>
                <c:pt idx="0">
                  <c:v>Y-O-Y essential </c:v>
                </c:pt>
              </c:strCache>
            </c:strRef>
          </c:tx>
          <c:spPr>
            <a:solidFill>
              <a:schemeClr val="accent3"/>
            </a:solidFill>
            <a:ln>
              <a:noFill/>
            </a:ln>
            <a:effectLst/>
          </c:spPr>
          <c:invertIfNegative val="0"/>
          <c:cat>
            <c:multiLvlStrRef>
              <c:f>'[1]Question-4'!$I$33:$J$37</c:f>
              <c:multiLvlStrCache>
                <c:ptCount val="5"/>
                <c:lvl>
                  <c:pt idx="0">
                    <c:v>2018</c:v>
                  </c:pt>
                  <c:pt idx="1">
                    <c:v>2019</c:v>
                  </c:pt>
                  <c:pt idx="2">
                    <c:v>2020</c:v>
                  </c:pt>
                  <c:pt idx="3">
                    <c:v>2021</c:v>
                  </c:pt>
                  <c:pt idx="4">
                    <c:v>2022</c:v>
                  </c:pt>
                </c:lvl>
                <c:lvl>
                  <c:pt idx="0">
                    <c:v>Pre - covid </c:v>
                  </c:pt>
                  <c:pt idx="2">
                    <c:v>Covid </c:v>
                  </c:pt>
                  <c:pt idx="3">
                    <c:v>Post-Covid</c:v>
                  </c:pt>
                </c:lvl>
              </c:multiLvlStrCache>
            </c:multiLvlStrRef>
          </c:cat>
          <c:val>
            <c:numRef>
              <c:f>'[1]Question-4'!$M$33:$M$37</c:f>
              <c:numCache>
                <c:formatCode>General</c:formatCode>
                <c:ptCount val="5"/>
                <c:pt idx="0">
                  <c:v>6.1549601737871301E-2</c:v>
                </c:pt>
                <c:pt idx="1">
                  <c:v>2.8992072480181201E-2</c:v>
                </c:pt>
                <c:pt idx="2">
                  <c:v>2.4769837790442801E-2</c:v>
                </c:pt>
                <c:pt idx="3">
                  <c:v>4.5191689869351098E-2</c:v>
                </c:pt>
                <c:pt idx="4">
                  <c:v>5.4252498470324297E-2</c:v>
                </c:pt>
              </c:numCache>
            </c:numRef>
          </c:val>
          <c:extLst>
            <c:ext xmlns:c16="http://schemas.microsoft.com/office/drawing/2014/chart" uri="{C3380CC4-5D6E-409C-BE32-E72D297353CC}">
              <c16:uniqueId val="{00000002-1178-47F2-BC0B-B0E848EAB030}"/>
            </c:ext>
          </c:extLst>
        </c:ser>
        <c:dLbls>
          <c:showLegendKey val="0"/>
          <c:showVal val="0"/>
          <c:showCatName val="0"/>
          <c:showSerName val="0"/>
          <c:showPercent val="0"/>
          <c:showBubbleSize val="0"/>
        </c:dLbls>
        <c:gapWidth val="219"/>
        <c:overlap val="-27"/>
        <c:axId val="1641881551"/>
        <c:axId val="1641882031"/>
      </c:barChart>
      <c:catAx>
        <c:axId val="16418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41882031"/>
        <c:crosses val="autoZero"/>
        <c:auto val="1"/>
        <c:lblAlgn val="ctr"/>
        <c:lblOffset val="100"/>
        <c:noMultiLvlLbl val="0"/>
      </c:catAx>
      <c:valAx>
        <c:axId val="164188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4188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86d1c7b-99c4-4f4c-bd35-6c9c8ffc810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data id="1">
      <cx:strDim type="cat">
        <cx:f>_xlchart.v1.0</cx:f>
      </cx:strDim>
      <cx:numDim type="val">
        <cx:f>_xlchart.v1.2</cx:f>
      </cx:numDim>
    </cx:data>
  </cx:chartData>
  <cx:chart>
    <cx:title pos="t" align="ctr" overlay="0">
      <cx:tx>
        <cx:txData>
          <cx:v>%MOM-FOOD BUCKET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%MOM-FOOD BUCKET</a:t>
          </a:r>
        </a:p>
      </cx:txPr>
    </cx:title>
    <cx:plotArea>
      <cx:plotAreaRegion>
        <cx:series layoutId="clusteredColumn" uniqueId="{00000000-71E4-42C0-98EC-49FD5F2D7A40}" formatIdx="0">
          <cx:dataLabels pos="inEnd">
            <cx:visibility seriesName="0" categoryName="0" value="1"/>
          </cx:dataLabels>
          <cx:dataId val="0"/>
          <cx:layoutPr>
            <cx:aggregation/>
          </cx:layoutPr>
          <cx:axisId val="1"/>
        </cx:series>
        <cx:series layoutId="paretoLine" ownerIdx="0" uniqueId="{EFCDC453-C0D0-40E1-8B58-71221A7477D4}" formatIdx="1">
          <cx:axisId val="2"/>
        </cx:series>
        <cx:series layoutId="clusteredColumn" hidden="1" uniqueId="{00000001-71E4-42C0-98EC-49FD5F2D7A40}" formatIdx="2">
          <cx:dataLabels pos="inEnd">
            <cx:visibility seriesName="0" categoryName="0" value="1"/>
          </cx:dataLabels>
          <cx:dataId val="1"/>
          <cx:layoutPr>
            <cx:aggregation/>
          </cx:layoutPr>
          <cx:axisId val="1"/>
        </cx:series>
        <cx:series layoutId="paretoLine" ownerIdx="2" uniqueId="{81BE757A-739A-4DE7-9B96-366150E5A18C}" formatIdx="3">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99060</xdr:colOff>
      <xdr:row>0</xdr:row>
      <xdr:rowOff>95250</xdr:rowOff>
    </xdr:from>
    <xdr:to>
      <xdr:col>9</xdr:col>
      <xdr:colOff>441960</xdr:colOff>
      <xdr:row>10</xdr:row>
      <xdr:rowOff>114300</xdr:rowOff>
    </xdr:to>
    <xdr:graphicFrame macro="">
      <xdr:nvGraphicFramePr>
        <xdr:cNvPr id="27" name="Chart 26">
          <a:extLst>
            <a:ext uri="{FF2B5EF4-FFF2-40B4-BE49-F238E27FC236}">
              <a16:creationId xmlns:a16="http://schemas.microsoft.com/office/drawing/2014/main" id="{06E677F9-D5C1-EA5D-7B87-DDE6BF9F2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449580</xdr:colOff>
      <xdr:row>3</xdr:row>
      <xdr:rowOff>121920</xdr:rowOff>
    </xdr:from>
    <xdr:to>
      <xdr:col>12</xdr:col>
      <xdr:colOff>144780</xdr:colOff>
      <xdr:row>16</xdr:row>
      <xdr:rowOff>22860</xdr:rowOff>
    </xdr:to>
    <xdr:graphicFrame macro="">
      <xdr:nvGraphicFramePr>
        <xdr:cNvPr id="2" name="Chart 1">
          <a:extLst>
            <a:ext uri="{FF2B5EF4-FFF2-40B4-BE49-F238E27FC236}">
              <a16:creationId xmlns:a16="http://schemas.microsoft.com/office/drawing/2014/main" id="{EA314894-B055-6653-5B8C-DF87EE77F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129540</xdr:colOff>
      <xdr:row>2</xdr:row>
      <xdr:rowOff>99060</xdr:rowOff>
    </xdr:from>
    <xdr:to>
      <xdr:col>6</xdr:col>
      <xdr:colOff>419100</xdr:colOff>
      <xdr:row>17</xdr:row>
      <xdr:rowOff>120015</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D098560F-3FA7-1E3B-2156-BA20B1ED23F9}"/>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2887980" y="464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449580</xdr:colOff>
      <xdr:row>2</xdr:row>
      <xdr:rowOff>34290</xdr:rowOff>
    </xdr:from>
    <xdr:to>
      <xdr:col>14</xdr:col>
      <xdr:colOff>236220</xdr:colOff>
      <xdr:row>19</xdr:row>
      <xdr:rowOff>34290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8F5FC59-9E32-0650-C3E7-E801BB142A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47260" y="400050"/>
              <a:ext cx="57378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558800</xdr:colOff>
      <xdr:row>8</xdr:row>
      <xdr:rowOff>174624</xdr:rowOff>
    </xdr:from>
    <xdr:to>
      <xdr:col>13</xdr:col>
      <xdr:colOff>114300</xdr:colOff>
      <xdr:row>24</xdr:row>
      <xdr:rowOff>50799</xdr:rowOff>
    </xdr:to>
    <xdr:graphicFrame macro="">
      <xdr:nvGraphicFramePr>
        <xdr:cNvPr id="5" name="Chart 4">
          <a:extLst>
            <a:ext uri="{FF2B5EF4-FFF2-40B4-BE49-F238E27FC236}">
              <a16:creationId xmlns:a16="http://schemas.microsoft.com/office/drawing/2014/main" id="{0CF05523-965F-4380-B316-1B2959B23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jal\Downloads\a029a3515a191f802e39a4b11256df13_pratima_attachment_CPI%20NEW%20ONE.xlsx" TargetMode="External"/><Relationship Id="rId1" Type="http://schemas.openxmlformats.org/officeDocument/2006/relationships/externalLinkPath" Target="a029a3515a191f802e39a4b11256df13_pratima_attachment_CPI%20NEW%20O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After Handling"/>
      <sheetName val="Question-1 "/>
      <sheetName val="Question-2"/>
      <sheetName val="Question-3 (a)"/>
      <sheetName val="Question-3 (b)"/>
      <sheetName val="Question-4"/>
      <sheetName val="Question-5 Data "/>
      <sheetName val="Question-5"/>
      <sheetName val="Dashboard "/>
    </sheetNames>
    <sheetDataSet>
      <sheetData sheetId="0"/>
      <sheetData sheetId="1"/>
      <sheetData sheetId="2"/>
      <sheetData sheetId="3"/>
      <sheetData sheetId="4"/>
      <sheetData sheetId="5">
        <row r="7">
          <cell r="J7" t="str">
            <v xml:space="preserve">Inflation of Food </v>
          </cell>
          <cell r="K7" t="str">
            <v xml:space="preserve">Inflation of Health </v>
          </cell>
          <cell r="L7" t="str">
            <v>Inflation of Essential Services</v>
          </cell>
        </row>
        <row r="8">
          <cell r="I8" t="str">
            <v>2018-19</v>
          </cell>
          <cell r="J8">
            <v>3.3008935177280502E-3</v>
          </cell>
          <cell r="K8">
            <v>5.7488653555219503E-2</v>
          </cell>
          <cell r="L8">
            <v>5.2744119743407099E-2</v>
          </cell>
        </row>
        <row r="9">
          <cell r="I9" t="str">
            <v>2019-20</v>
          </cell>
          <cell r="J9">
            <v>7.7420799142147098E-2</v>
          </cell>
          <cell r="K9">
            <v>6.8828035867853701E-2</v>
          </cell>
          <cell r="L9">
            <v>3.2387835937495203E-2</v>
          </cell>
        </row>
        <row r="10">
          <cell r="I10" t="str">
            <v>2020-21</v>
          </cell>
          <cell r="J10">
            <v>4.6194885474645397E-2</v>
          </cell>
          <cell r="K10">
            <v>6.7862582501269295E-2</v>
          </cell>
          <cell r="L10">
            <v>2.8197436596673099E-2</v>
          </cell>
        </row>
        <row r="11">
          <cell r="I11" t="str">
            <v>2021-22</v>
          </cell>
          <cell r="J11">
            <v>5.8185165447410703E-2</v>
          </cell>
          <cell r="K11">
            <v>7.08215297450423E-2</v>
          </cell>
          <cell r="L11">
            <v>4.3505807814149901E-2</v>
          </cell>
        </row>
        <row r="32">
          <cell r="K32" t="str">
            <v xml:space="preserve">Y-O-Y Food </v>
          </cell>
          <cell r="L32" t="str">
            <v xml:space="preserve">Y-O-Y Health </v>
          </cell>
          <cell r="M32" t="str">
            <v xml:space="preserve">Y-O-Y essential </v>
          </cell>
        </row>
        <row r="33">
          <cell r="I33" t="str">
            <v xml:space="preserve">Pre - covid </v>
          </cell>
          <cell r="J33">
            <v>2018</v>
          </cell>
          <cell r="K33">
            <v>-9.6072813079388503E-3</v>
          </cell>
          <cell r="L33">
            <v>6.3315425940138101E-2</v>
          </cell>
          <cell r="M33">
            <v>6.1549601737871301E-2</v>
          </cell>
        </row>
        <row r="34">
          <cell r="I34"/>
          <cell r="J34">
            <v>2019</v>
          </cell>
          <cell r="K34">
            <v>0.109900764229497</v>
          </cell>
          <cell r="L34">
            <v>4.6419575386829899E-2</v>
          </cell>
          <cell r="M34">
            <v>2.8992072480181201E-2</v>
          </cell>
        </row>
        <row r="35">
          <cell r="I35" t="str">
            <v xml:space="preserve">Covid </v>
          </cell>
          <cell r="J35">
            <v>2020</v>
          </cell>
          <cell r="K35">
            <v>8.6940836940836999E-2</v>
          </cell>
          <cell r="L35">
            <v>7.4616695059625093E-2</v>
          </cell>
          <cell r="M35">
            <v>2.4769837790442801E-2</v>
          </cell>
        </row>
        <row r="36">
          <cell r="I36" t="str">
            <v>Post-Covid</v>
          </cell>
          <cell r="J36">
            <v>2021</v>
          </cell>
          <cell r="K36">
            <v>5.0276908259089897E-2</v>
          </cell>
          <cell r="L36">
            <v>5.40968048086048E-2</v>
          </cell>
          <cell r="M36">
            <v>4.5191689869351098E-2</v>
          </cell>
        </row>
        <row r="37">
          <cell r="I37"/>
          <cell r="J37">
            <v>2022</v>
          </cell>
          <cell r="K37">
            <v>5.5078088901210701E-2</v>
          </cell>
          <cell r="L37">
            <v>6.7284688995215294E-2</v>
          </cell>
          <cell r="M37">
            <v>5.4252498470324297E-2</v>
          </cell>
        </row>
      </sheetData>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ha kota Anjali" refreshedDate="46193.871195717591" createdVersion="8" refreshedVersion="8" minRefreshableVersion="3" recordCount="372" xr:uid="{48D67B92-E645-4ECD-8787-F7F303021334}">
  <cacheSource type="worksheet">
    <worksheetSource ref="A1:J373" sheet="AFTER CATEGORIES SUM"/>
  </cacheSource>
  <cacheFields count="1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year-month" numFmtId="14">
      <sharedItems count="125">
        <s v="2013-January"/>
        <s v="2013-February"/>
        <s v="2013-March"/>
        <s v="2013-April"/>
        <s v="2013-May"/>
        <s v="2013-June"/>
        <s v="2013-July"/>
        <s v="2013-August"/>
        <s v="2013-September"/>
        <s v="2013-October"/>
        <s v="2013-November "/>
        <s v="2013-November"/>
        <s v="2013-December"/>
        <s v="2014-January"/>
        <s v="2014-February"/>
        <s v="2014-March"/>
        <s v="2014-April"/>
        <s v="2014-May"/>
        <s v="2014-June"/>
        <s v="2014-July"/>
        <s v="2014-August"/>
        <s v="2014-September"/>
        <s v="2014-October"/>
        <s v="2014-November"/>
        <s v="2014-December"/>
        <s v="2015-January"/>
        <s v="2015-February"/>
        <s v="2015-March"/>
        <s v="2015-April"/>
        <s v="2015-May"/>
        <s v="2015-June"/>
        <s v="2015-July"/>
        <s v="2015-August"/>
        <s v="2015-September"/>
        <s v="2015-October"/>
        <s v="2015-November"/>
        <s v="2015-December"/>
        <s v="2016-January"/>
        <s v="2016-February"/>
        <s v="2016-March"/>
        <s v="2016-April"/>
        <s v="2016-May"/>
        <s v="2016-June"/>
        <s v="2016-July"/>
        <s v="2016-August"/>
        <s v="2016-September"/>
        <s v="2016-October"/>
        <s v="2016-November"/>
        <s v="2016-December"/>
        <s v="2017-January"/>
        <s v="2017-February"/>
        <s v="2017-March"/>
        <s v="2017-April"/>
        <s v="2017-May"/>
        <s v="2017-June"/>
        <s v="2017-July"/>
        <s v="2017-August"/>
        <s v="2017-September"/>
        <s v="2017-October"/>
        <s v="2017-November"/>
        <s v="2017-December"/>
        <s v="2018-January"/>
        <s v="2018-February"/>
        <s v="2018-March"/>
        <s v="2018-April"/>
        <s v="2018-May"/>
        <s v="2018-June"/>
        <s v="2018-July"/>
        <s v="2018-August"/>
        <s v="2018-September"/>
        <s v="2018-October"/>
        <s v="2018-November"/>
        <s v="2018-December"/>
        <s v="2019-January"/>
        <s v="2019-February"/>
        <s v="2019-March"/>
        <s v="2019-May"/>
        <s v="2019-June"/>
        <s v="2019-July"/>
        <s v="2019-August"/>
        <s v="2019-September"/>
        <s v="2019-October"/>
        <s v="2019-November"/>
        <s v="2019-December"/>
        <s v="2020-January"/>
        <s v="2020-February"/>
        <s v="2020-March"/>
        <s v="2020-April"/>
        <s v="2020-May"/>
        <s v="2020-June"/>
        <s v="2020-July"/>
        <s v="2020-August"/>
        <s v="2020-September"/>
        <s v="2020-October"/>
        <s v="2020-November"/>
        <s v="2020-December"/>
        <s v="2021-January"/>
        <s v="2021-February"/>
        <s v="2021-March"/>
        <s v="2021-April"/>
        <s v="2021-May"/>
        <s v="2021-June"/>
        <s v="2021-July"/>
        <s v="2021-August"/>
        <s v="2021-September"/>
        <s v="2021-October"/>
        <s v="2021-November"/>
        <s v="2021-December"/>
        <s v="2022-January"/>
        <s v="2022-February"/>
        <s v="2022-March"/>
        <s v="2022-April"/>
        <s v="2022-May"/>
        <s v="2022-June"/>
        <s v="2022-July"/>
        <s v="2022-August"/>
        <s v="2022-September"/>
        <s v="2022-October"/>
        <s v="2022-November"/>
        <s v="2022-December"/>
        <s v="2023-January"/>
        <s v="2023-February"/>
        <s v="2023-March"/>
        <s v="2023-April"/>
        <s v="2023-May"/>
      </sharedItems>
    </cacheField>
    <cacheField name="FOOD" numFmtId="164">
      <sharedItems containsSemiMixedTypes="0" containsString="0" containsNumber="1" minValue="1371.6999999999998" maxValue="2335.1" count="363">
        <n v="1371.6999999999998"/>
        <n v="1376.4"/>
        <n v="1373.3000000000002"/>
        <n v="1380.3999999999999"/>
        <n v="1390.6000000000001"/>
        <n v="1384.2"/>
        <n v="1382.2"/>
        <n v="1386.8"/>
        <n v="1384.0000000000002"/>
        <n v="1385.8"/>
        <n v="1397.6999999999998"/>
        <n v="1390.2"/>
        <n v="1394"/>
        <n v="1417.1999999999998"/>
        <n v="1402.1999999999998"/>
        <n v="1420"/>
        <n v="1464.6000000000001"/>
        <n v="1436"/>
        <n v="1445.8999999999996"/>
        <n v="1489.4"/>
        <n v="1461.3999999999999"/>
        <n v="1462.5"/>
        <n v="1506.1000000000001"/>
        <n v="1477.4"/>
        <n v="1488.5000000000002"/>
        <n v="1500.4"/>
        <n v="1491.6999999999998"/>
        <n v="1508"/>
        <n v="1517.1999999999998"/>
        <n v="1510.2000000000003"/>
        <n v="1536.8"/>
        <n v="1544.6"/>
        <n v="1538.8"/>
        <n v="1509"/>
        <n v="1504.4"/>
        <n v="1507.3000000000002"/>
        <n v="1486.6000000000001"/>
        <n v="1484.3"/>
        <n v="1485.7999999999997"/>
        <n v="1482.2"/>
        <n v="1476"/>
        <n v="1480.1"/>
        <n v="1491.4"/>
        <n v="1483"/>
        <n v="1488.2999999999997"/>
        <n v="1504.1000000000001"/>
        <n v="1504.0000000000002"/>
        <n v="1504.1"/>
        <n v="1513.8999999999999"/>
        <n v="1525.3000000000002"/>
        <n v="1518.5000000000005"/>
        <n v="1525.6999999999998"/>
        <n v="1547"/>
        <n v="1533.7000000000003"/>
        <n v="1563.2"/>
        <n v="1599.5"/>
        <n v="1576.3"/>
        <n v="1582.2999999999997"/>
        <n v="1617"/>
        <n v="1594.4999999999998"/>
        <n v="1583.2"/>
        <n v="1593.7000000000003"/>
        <n v="1586.0999999999997"/>
        <n v="1581.1999999999998"/>
        <n v="1587.5"/>
        <n v="1582.7"/>
        <n v="1582"/>
        <n v="1587.8"/>
        <n v="1569.6"/>
        <n v="1577.1999999999998"/>
        <n v="1571.6999999999998"/>
        <n v="1568.1"/>
        <n v="1574.8999999999999"/>
        <n v="1569.3"/>
        <n v="1570.5999999999997"/>
        <n v="1571.1000000000001"/>
        <n v="1569.3999999999996"/>
        <n v="1571.5"/>
        <n v="1568.0000000000002"/>
        <n v="1569.1"/>
        <n v="1577.2"/>
        <n v="1576.1"/>
        <n v="1575.7"/>
        <n v="1587.7"/>
        <n v="1598.9"/>
        <n v="1590.4"/>
        <n v="1617.8999999999999"/>
        <n v="1636.6"/>
        <n v="1623.5"/>
        <n v="1625.3"/>
        <n v="1642.8999999999999"/>
        <n v="1630.6000000000001"/>
        <n v="1646.6"/>
        <n v="1658.8999999999999"/>
        <n v="1649.6"/>
        <n v="1657.6000000000001"/>
        <n v="1664.8"/>
        <n v="1658.3000000000002"/>
        <n v="1674.6"/>
        <n v="1692.8000000000002"/>
        <n v="1678.9999999999998"/>
        <n v="1686.3"/>
        <n v="1708.4999999999998"/>
        <n v="1692.1"/>
        <n v="1682.3000000000002"/>
        <n v="1698.8"/>
        <n v="1686.1000000000001"/>
        <n v="1690.1000000000001"/>
        <n v="1701.4"/>
        <n v="1691.7"/>
        <n v="1682.6"/>
        <n v="1676.1"/>
        <n v="1678.1"/>
        <n v="1682.7000000000003"/>
        <n v="1667.6000000000001"/>
        <n v="1675.2"/>
        <n v="1701.6000000000004"/>
        <n v="1706.3"/>
        <n v="1701.3"/>
        <n v="1723.6999999999998"/>
        <n v="1746.7999999999997"/>
        <n v="1730.4"/>
        <n v="1748.6"/>
        <n v="1787.0000000000002"/>
        <n v="1760.6"/>
        <n v="1770.2999999999997"/>
        <n v="1811.5000000000002"/>
        <n v="1783.5"/>
        <n v="1777.4999999999998"/>
        <n v="1783.9999999999995"/>
        <n v="1777.9"/>
        <n v="1770.7"/>
        <n v="1756.3999999999996"/>
        <n v="1763.6999999999998"/>
        <n v="1771.8000000000002"/>
        <n v="1762.8999999999999"/>
        <n v="1766.7999999999995"/>
        <n v="1764.6"/>
        <n v="1755.2"/>
        <n v="1759.8"/>
        <n v="1749.1"/>
        <n v="1729.8"/>
        <n v="1740.7"/>
        <n v="1737.3000000000002"/>
        <n v="1713.2"/>
        <n v="1727.2999999999995"/>
        <n v="1734.5000000000002"/>
        <n v="1705.3000000000002"/>
        <n v="1722.3000000000002"/>
        <n v="1728.5000000000002"/>
        <n v="1705.6999999999998"/>
        <n v="1718.9"/>
        <n v="1726.3"/>
        <n v="1708.1"/>
        <n v="1718.4"/>
        <n v="1727.4999999999995"/>
        <n v="1709.6"/>
        <n v="1719.6000000000001"/>
        <n v="1738.8000000000002"/>
        <n v="1731.0000000000002"/>
        <n v="1734.7"/>
        <n v="1772.9"/>
        <n v="1768.1"/>
        <n v="1769.3999999999999"/>
        <n v="1792.4999999999998"/>
        <n v="1772.9999999999998"/>
        <n v="1783.8"/>
        <n v="1784.3"/>
        <n v="1749.7"/>
        <n v="1769.9999999999998"/>
        <n v="1790.8999999999999"/>
        <n v="1765.6999999999998"/>
        <n v="1779.6999999999998"/>
        <n v="1817.7000000000003"/>
        <n v="1796.7"/>
        <n v="1808.2"/>
        <n v="1813.6000000000001"/>
        <n v="1767.5"/>
        <n v="1794.9999999999998"/>
        <n v="1800.7"/>
        <n v="1748.3000000000002"/>
        <n v="1779.9"/>
        <n v="1781.5"/>
        <n v="1727.9"/>
        <n v="1760.3999999999996"/>
        <n v="1781.9999999999998"/>
        <n v="1715.5"/>
        <n v="1756"/>
        <n v="1780"/>
        <n v="1720.0000000000002"/>
        <n v="1757.1000000000001"/>
        <n v="1782.4"/>
        <n v="1722.8999999999999"/>
        <n v="1790.2999999999997"/>
        <n v="1747.3000000000002"/>
        <n v="1774.1000000000001"/>
        <n v="1810.5000000000002"/>
        <n v="1771.1"/>
        <n v="1795.3"/>
        <n v="1818.8"/>
        <n v="1767.6"/>
        <n v="1798.7000000000003"/>
        <n v="1799.8000000000002"/>
        <n v="1748.4"/>
        <n v="1779.5"/>
        <n v="1782.2"/>
        <n v="1754.1"/>
        <n v="1776.2"/>
        <n v="1787.4999999999995"/>
        <n v="1757.4999999999998"/>
        <n v="1775.7000000000003"/>
        <n v="1773.1000000000001"/>
        <n v="1746.6"/>
        <n v="1762.7999999999997"/>
        <n v="1759.6000000000001"/>
        <n v="1744.3000000000002"/>
        <n v="1753.3999999999999"/>
        <n v="1759.8000000000002"/>
        <n v="1754.4"/>
        <n v="1757.1"/>
        <n v="1761.2000000000003"/>
        <n v="1768.4"/>
        <n v="1762.9"/>
        <n v="1782.1000000000001"/>
        <n v="1791.9000000000003"/>
        <n v="1804.1999999999998"/>
        <n v="1833.2999999999997"/>
        <n v="1814.1000000000001"/>
        <n v="1826.8999999999999"/>
        <n v="1857.3999999999999"/>
        <n v="1837.5"/>
        <n v="1834.5000000000002"/>
        <n v="1869.1"/>
        <n v="1846.5"/>
        <n v="1848.7"/>
        <n v="1874.9"/>
        <n v="1857.6999999999998"/>
        <n v="1876.8999999999996"/>
        <n v="1902.6000000000001"/>
        <n v="1885.5999999999997"/>
        <n v="1904.6000000000001"/>
        <n v="1923.9999999999998"/>
        <n v="1910.9"/>
        <n v="1940.9999999999995"/>
        <n v="1956.7"/>
        <n v="1946.1000000000001"/>
        <n v="1938.6"/>
        <n v="1945.3999999999999"/>
        <n v="1940.3999999999999"/>
        <n v="1909.7999999999997"/>
        <n v="1916.6"/>
        <n v="1911.6"/>
        <n v="1894.5999999999997"/>
        <n v="1898.5"/>
        <n v="1895.4"/>
        <n v="1954.4000000000003"/>
        <n v="1979.3999999999999"/>
        <n v="1963.3"/>
        <n v="1952.6999999999998"/>
        <n v="1987.2000000000003"/>
        <n v="1965.0499999999997"/>
        <n v="1951"/>
        <n v="1994.9999999999998"/>
        <n v="1966.8000000000002"/>
        <n v="1978.6"/>
        <n v="2024.8999999999999"/>
        <n v="1995.1999999999998"/>
        <n v="1987.3999999999999"/>
        <n v="2041.6000000000001"/>
        <n v="2007"/>
        <n v="2030.9"/>
        <n v="2080.1999999999998"/>
        <n v="2048.6000000000004"/>
        <n v="2082.4"/>
        <n v="2120.6999999999998"/>
        <n v="2095.6"/>
        <n v="2100.5"/>
        <n v="2125.4"/>
        <n v="2109.1"/>
        <n v="2065.6999999999998"/>
        <n v="2097"/>
        <n v="2076.5"/>
        <n v="2025.3"/>
        <n v="2066"/>
        <n v="2039.3000000000002"/>
        <n v="2025.7"/>
        <n v="2064.4999999999995"/>
        <n v="2039.3999999999999"/>
        <n v="2049.5"/>
        <n v="2089.6"/>
        <n v="2064.1"/>
        <n v="2095.2999999999997"/>
        <n v="2124.7000000000003"/>
        <n v="2105.7000000000003"/>
        <n v="2122.6"/>
        <n v="2154.1999999999998"/>
        <n v="2133.9"/>
        <n v="2132.4"/>
        <n v="2171.8000000000002"/>
        <n v="2147"/>
        <n v="2130.8000000000002"/>
        <n v="2157.9"/>
        <n v="2142"/>
        <n v="2133.6"/>
        <n v="2164.1999999999998"/>
        <n v="2198.4000000000005"/>
        <n v="2175.5"/>
        <n v="2182"/>
        <n v="2217.8999999999996"/>
        <n v="2194.1"/>
        <n v="2168.1999999999998"/>
        <n v="2206.3000000000002"/>
        <n v="2180.9"/>
        <n v="2153"/>
        <n v="2186.6999999999998"/>
        <n v="2150.4"/>
        <n v="2183.5"/>
        <n v="2161.2000000000003"/>
        <n v="2179.1000000000004"/>
        <n v="2196.3000000000002"/>
        <n v="2184.2000000000003"/>
        <n v="2206.6"/>
        <n v="2230.4"/>
        <n v="2214.3000000000002"/>
        <n v="2226.8000000000002"/>
        <n v="2262.2000000000003"/>
        <n v="2238.9000000000005"/>
        <n v="2248.3000000000002"/>
        <n v="2287.5"/>
        <n v="2261.9"/>
        <n v="2252.5"/>
        <n v="2291.6"/>
        <n v="2266.3000000000002"/>
        <n v="2255.7999999999997"/>
        <n v="2293.6999999999998"/>
        <n v="2269.2000000000003"/>
        <n v="2267.8000000000002"/>
        <n v="2306.4"/>
        <n v="2280.9"/>
        <n v="2284.5"/>
        <n v="2322.3000000000002"/>
        <n v="2297.3000000000002"/>
        <n v="2287.6999999999998"/>
        <n v="2314.4"/>
        <n v="2296.8000000000002"/>
        <n v="2277.1"/>
        <n v="2295.7999999999997"/>
        <n v="2283.4"/>
        <n v="2283.2000000000003"/>
        <n v="2310.2000000000003"/>
        <n v="2292.6999999999998"/>
        <n v="2265.6999999999998"/>
        <n v="2303.1999999999998"/>
        <n v="2279.1"/>
        <n v="2265.8000000000002"/>
        <n v="2303.4"/>
        <n v="2279.1999999999998"/>
        <n v="2274.1999999999998"/>
        <n v="2317.7000000000003"/>
        <n v="2289.6000000000004"/>
        <n v="2290.7000000000007"/>
        <n v="2335.1"/>
        <n v="2306.9"/>
      </sharedItems>
    </cacheField>
    <cacheField name="MISCELLANEOUS" numFmtId="164">
      <sharedItems containsSemiMixedTypes="0" containsString="0" containsNumber="1" minValue="311.8" maxValue="553.20000000000005"/>
    </cacheField>
    <cacheField name="APPAREL" numFmtId="164">
      <sharedItems containsSemiMixedTypes="0" containsString="0" containsNumber="1" minValue="316.7" maxValue="569.90000000000009"/>
    </cacheField>
    <cacheField name="HOUSING" numFmtId="164">
      <sharedItems containsSemiMixedTypes="0" containsString="0" containsNumber="1" minValue="308.60000000000002" maxValue="535.70000000000005"/>
    </cacheField>
    <cacheField name="TRANSPORT" numFmtId="164">
      <sharedItems containsSemiMixedTypes="0" containsString="0" containsNumber="1" minValue="208.60000000000002" maxValue="352.2"/>
    </cacheField>
    <cacheField name="MEDICAL CARE" numFmtId="164">
      <sharedItems containsSemiMixedTypes="0" containsString="0" containsNumber="1" minValue="207.8" maxValue="372.70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ha kota Anjali" refreshedDate="46193.925981828703" createdVersion="8" refreshedVersion="8" minRefreshableVersion="3" recordCount="39" xr:uid="{3E9BF944-B653-4051-90CB-1ECABBA1D7E2}">
  <cacheSource type="worksheet">
    <worksheetSource name="Table4__2"/>
  </cacheSource>
  <cacheFields count="4">
    <cacheField name="Sector" numFmtId="0">
      <sharedItems count="3">
        <s v="Rural"/>
        <s v="Urban"/>
        <s v="Rural+Urban"/>
      </sharedItems>
    </cacheField>
    <cacheField name="Year" numFmtId="0">
      <sharedItems containsSemiMixedTypes="0" containsString="0" containsNumber="1" containsInteger="1" minValue="2022" maxValue="2023" count="2">
        <n v="2022"/>
        <n v="2023"/>
      </sharedItems>
    </cacheField>
    <cacheField name="Month" numFmtId="0">
      <sharedItems count="12">
        <s v="May"/>
        <s v="June"/>
        <s v="July"/>
        <s v="August"/>
        <s v="September"/>
        <s v="October"/>
        <s v="November"/>
        <s v="December"/>
        <s v="January"/>
        <s v="February"/>
        <s v="March"/>
        <s v="April"/>
      </sharedItems>
    </cacheField>
    <cacheField name="FOOD" numFmtId="0">
      <sharedItems containsSemiMixedTypes="0" containsString="0" containsNumber="1" minValue="2226.8000000000002" maxValue="2335.1"/>
    </cacheField>
  </cacheFields>
  <extLst>
    <ext xmlns:x14="http://schemas.microsoft.com/office/spreadsheetml/2009/9/main" uri="{725AE2AE-9491-48be-B2B4-4EB974FC3084}">
      <x14:pivotCacheDefinition pivotCacheId="13642200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ha kota Anjali" refreshedDate="46193.951417824072" createdVersion="8" refreshedVersion="8" minRefreshableVersion="3" recordCount="39" xr:uid="{A078A1E7-61C8-43EE-92E0-B29EF4690273}">
  <cacheSource type="worksheet">
    <worksheetSource name="Table2__2"/>
  </cacheSource>
  <cacheFields count="16">
    <cacheField name="Sector" numFmtId="0">
      <sharedItems count="3">
        <s v="Rural"/>
        <s v="Urban"/>
        <s v="Rural+Urban"/>
      </sharedItems>
    </cacheField>
    <cacheField name="Year" numFmtId="0">
      <sharedItems containsSemiMixedTypes="0" containsString="0" containsNumber="1" containsInteger="1" minValue="2022" maxValue="2023" count="2">
        <n v="2022"/>
        <n v="2023"/>
      </sharedItems>
    </cacheField>
    <cacheField name="Month" numFmtId="0">
      <sharedItems count="12">
        <s v="May"/>
        <s v="June"/>
        <s v="July"/>
        <s v="August"/>
        <s v="September"/>
        <s v="October"/>
        <s v="November"/>
        <s v="December"/>
        <s v="January"/>
        <s v="February"/>
        <s v="March"/>
        <s v="April"/>
      </sharedItems>
    </cacheField>
    <cacheField name="Cereals and products" numFmtId="0">
      <sharedItems containsSemiMixedTypes="0" containsString="0" containsNumber="1" minValue="152.9" maxValue="174.8" count="3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204.1" maxValue="223.4"/>
    </cacheField>
    <cacheField name="Egg" numFmtId="0">
      <sharedItems containsSemiMixedTypes="0" containsString="0" containsNumber="1" minValue="161.4" maxValue="197"/>
    </cacheField>
    <cacheField name="Milk and products" numFmtId="0">
      <sharedItems containsSemiMixedTypes="0" containsString="0" containsNumber="1" minValue="164.6" maxValue="179.6"/>
    </cacheField>
    <cacheField name="Oils and fats" numFmtId="0">
      <sharedItems containsSemiMixedTypes="0" containsString="0" containsNumber="1" minValue="164.4" maxValue="209.9"/>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8.9" maxValue="124.2"/>
    </cacheField>
    <cacheField name="Spices" numFmtId="0">
      <sharedItems containsSemiMixedTypes="0" containsString="0" containsNumber="1" minValue="181.4" maxValue="221"/>
    </cacheField>
    <cacheField name="Non-alcoholic beverages" numFmtId="0">
      <sharedItems containsSemiMixedTypes="0" containsString="0" containsNumber="1" minValue="158.5" maxValue="178.7"/>
    </cacheField>
    <cacheField name="Prepared meals, snacks, sweets etc." numFmtId="0">
      <sharedItems containsSemiMixedTypes="0" containsString="0" containsNumber="1" minValue="180.4" maxValue="197.7"/>
    </cacheField>
    <cacheField name="Food and beverages" numFmtId="0">
      <sharedItems containsSemiMixedTypes="0" containsString="0" containsNumber="1" minValue="170.8" maxValue="183.3"/>
    </cacheField>
  </cacheFields>
  <extLst>
    <ext xmlns:x14="http://schemas.microsoft.com/office/spreadsheetml/2009/9/main" uri="{725AE2AE-9491-48be-B2B4-4EB974FC3084}">
      <x14:pivotCacheDefinition pivotCacheId="1942178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x v="0"/>
    <x v="0"/>
    <x v="0"/>
    <n v="312.5"/>
    <n v="318.70000000000005"/>
    <n v="308.89999999999998"/>
    <n v="208.8"/>
    <n v="208.7"/>
  </r>
  <r>
    <s v="Urban"/>
    <x v="0"/>
    <x v="0"/>
    <x v="0"/>
    <x v="1"/>
    <n v="311.8"/>
    <n v="316.7"/>
    <n v="308.60000000000002"/>
    <n v="208.60000000000002"/>
    <n v="208.39999999999998"/>
  </r>
  <r>
    <s v="Rural+Urban"/>
    <x v="0"/>
    <x v="0"/>
    <x v="0"/>
    <x v="2"/>
    <n v="312.10000000000002"/>
    <n v="318"/>
    <n v="308.7"/>
    <n v="208.7"/>
    <n v="208.5"/>
  </r>
  <r>
    <s v="Rural"/>
    <x v="0"/>
    <x v="1"/>
    <x v="1"/>
    <x v="3"/>
    <n v="314"/>
    <n v="320.39999999999998"/>
    <n v="309.70000000000005"/>
    <n v="210.10000000000002"/>
    <n v="209"/>
  </r>
  <r>
    <s v="Urban"/>
    <x v="0"/>
    <x v="1"/>
    <x v="1"/>
    <x v="4"/>
    <n v="313.60000000000002"/>
    <n v="318.5"/>
    <n v="309.3"/>
    <n v="210.10000000000002"/>
    <n v="209"/>
  </r>
  <r>
    <s v="Rural+Urban"/>
    <x v="0"/>
    <x v="1"/>
    <x v="1"/>
    <x v="5"/>
    <n v="313.70000000000005"/>
    <n v="319.7"/>
    <n v="309.5"/>
    <n v="210.2"/>
    <n v="209"/>
  </r>
  <r>
    <s v="Rural"/>
    <x v="0"/>
    <x v="2"/>
    <x v="2"/>
    <x v="6"/>
    <n v="315.10000000000002"/>
    <n v="321.89999999999998"/>
    <n v="310.3"/>
    <n v="210.7"/>
    <n v="209"/>
  </r>
  <r>
    <s v="Urban"/>
    <x v="0"/>
    <x v="2"/>
    <x v="2"/>
    <x v="7"/>
    <n v="315.20000000000005"/>
    <n v="320.2"/>
    <n v="309.90000000000003"/>
    <n v="211.5"/>
    <n v="209.4"/>
  </r>
  <r>
    <s v="Rural+Urban"/>
    <x v="0"/>
    <x v="2"/>
    <x v="2"/>
    <x v="8"/>
    <n v="315"/>
    <n v="321.2"/>
    <n v="310"/>
    <n v="211.2"/>
    <n v="209.2"/>
  </r>
  <r>
    <s v="Rural"/>
    <x v="0"/>
    <x v="3"/>
    <x v="3"/>
    <x v="9"/>
    <n v="316.2"/>
    <n v="323.5"/>
    <n v="311.39999999999998"/>
    <n v="210.9"/>
    <n v="207.8"/>
  </r>
  <r>
    <s v="Urban"/>
    <x v="0"/>
    <x v="3"/>
    <x v="3"/>
    <x v="10"/>
    <n v="317.60000000000002"/>
    <n v="322"/>
    <n v="312.2"/>
    <n v="211.4"/>
    <n v="208.9"/>
  </r>
  <r>
    <s v="Rural+Urban"/>
    <x v="0"/>
    <x v="3"/>
    <x v="3"/>
    <x v="11"/>
    <n v="316.5"/>
    <n v="322.89999999999998"/>
    <n v="311.8"/>
    <n v="211.2"/>
    <n v="208.2"/>
  </r>
  <r>
    <s v="Rural"/>
    <x v="0"/>
    <x v="4"/>
    <x v="4"/>
    <x v="12"/>
    <n v="317.89999999999998"/>
    <n v="325.29999999999995"/>
    <n v="312.8"/>
    <n v="211.6"/>
    <n v="207.8"/>
  </r>
  <r>
    <s v="Urban"/>
    <x v="0"/>
    <x v="4"/>
    <x v="4"/>
    <x v="13"/>
    <n v="319.29999999999995"/>
    <n v="323.5"/>
    <n v="313.3"/>
    <n v="211.10000000000002"/>
    <n v="208.8"/>
  </r>
  <r>
    <s v="Rural+Urban"/>
    <x v="0"/>
    <x v="4"/>
    <x v="4"/>
    <x v="14"/>
    <n v="318.2"/>
    <n v="324.60000000000002"/>
    <n v="313"/>
    <n v="211.4"/>
    <n v="208.2"/>
  </r>
  <r>
    <s v="Rural"/>
    <x v="0"/>
    <x v="5"/>
    <x v="5"/>
    <x v="15"/>
    <n v="320.10000000000002"/>
    <n v="328"/>
    <n v="320.60000000000002"/>
    <n v="213.5"/>
    <n v="208.8"/>
  </r>
  <r>
    <s v="Urban"/>
    <x v="0"/>
    <x v="5"/>
    <x v="5"/>
    <x v="16"/>
    <n v="322.20000000000005"/>
    <n v="325.3"/>
    <n v="322.39999999999998"/>
    <n v="213.2"/>
    <n v="209.8"/>
  </r>
  <r>
    <s v="Rural+Urban"/>
    <x v="0"/>
    <x v="5"/>
    <x v="5"/>
    <x v="17"/>
    <n v="320.7"/>
    <n v="326.89999999999998"/>
    <n v="321.60000000000002"/>
    <n v="213.39999999999998"/>
    <n v="209.2"/>
  </r>
  <r>
    <s v="Rural"/>
    <x v="0"/>
    <x v="6"/>
    <x v="6"/>
    <x v="18"/>
    <n v="322.7"/>
    <n v="330.3"/>
    <n v="323.8"/>
    <n v="216.3"/>
    <n v="209.4"/>
  </r>
  <r>
    <s v="Urban"/>
    <x v="0"/>
    <x v="6"/>
    <x v="6"/>
    <x v="19"/>
    <n v="324.90000000000003"/>
    <n v="327.10000000000002"/>
    <n v="325.89999999999998"/>
    <n v="215.89999999999998"/>
    <n v="210.3"/>
  </r>
  <r>
    <s v="Rural+Urban"/>
    <x v="0"/>
    <x v="6"/>
    <x v="6"/>
    <x v="20"/>
    <n v="323.29999999999995"/>
    <n v="329"/>
    <n v="325"/>
    <n v="216.3"/>
    <n v="209.8"/>
  </r>
  <r>
    <s v="Rural"/>
    <x v="0"/>
    <x v="7"/>
    <x v="7"/>
    <x v="21"/>
    <n v="325"/>
    <n v="332.6"/>
    <n v="326.3"/>
    <n v="217.7"/>
    <n v="212.5"/>
  </r>
  <r>
    <s v="Urban"/>
    <x v="0"/>
    <x v="7"/>
    <x v="7"/>
    <x v="22"/>
    <n v="327.2"/>
    <n v="329.09999999999997"/>
    <n v="328.40000000000003"/>
    <n v="217.39999999999998"/>
    <n v="213.6"/>
  </r>
  <r>
    <s v="Rural+Urban"/>
    <x v="0"/>
    <x v="7"/>
    <x v="7"/>
    <x v="23"/>
    <n v="325.70000000000005"/>
    <n v="331.1"/>
    <n v="327.5"/>
    <n v="217.7"/>
    <n v="212.9"/>
  </r>
  <r>
    <s v="Rural"/>
    <x v="0"/>
    <x v="8"/>
    <x v="8"/>
    <x v="24"/>
    <n v="328.1"/>
    <n v="336.6"/>
    <n v="329.1"/>
    <n v="220.39999999999998"/>
    <n v="215"/>
  </r>
  <r>
    <s v="Urban"/>
    <x v="0"/>
    <x v="8"/>
    <x v="8"/>
    <x v="25"/>
    <n v="329.70000000000005"/>
    <n v="331.5"/>
    <n v="330.5"/>
    <n v="219.9"/>
    <n v="214.8"/>
  </r>
  <r>
    <s v="Rural+Urban"/>
    <x v="0"/>
    <x v="8"/>
    <x v="8"/>
    <x v="26"/>
    <n v="328.5"/>
    <n v="334.5"/>
    <n v="329.9"/>
    <n v="220.4"/>
    <n v="214.89999999999998"/>
  </r>
  <r>
    <s v="Rural"/>
    <x v="0"/>
    <x v="9"/>
    <x v="9"/>
    <x v="27"/>
    <n v="329.6"/>
    <n v="339.29999999999995"/>
    <n v="331.1"/>
    <n v="220.89999999999998"/>
    <n v="216.4"/>
  </r>
  <r>
    <s v="Urban"/>
    <x v="0"/>
    <x v="9"/>
    <x v="9"/>
    <x v="28"/>
    <n v="330.9"/>
    <n v="334.2"/>
    <n v="332"/>
    <n v="219.4"/>
    <n v="215.5"/>
  </r>
  <r>
    <s v="Rural+Urban"/>
    <x v="0"/>
    <x v="9"/>
    <x v="9"/>
    <x v="29"/>
    <n v="329.8"/>
    <n v="337.2"/>
    <n v="331.6"/>
    <n v="220.4"/>
    <n v="216"/>
  </r>
  <r>
    <s v="Rural"/>
    <x v="0"/>
    <x v="10"/>
    <x v="10"/>
    <x v="30"/>
    <n v="331.3"/>
    <n v="342.1"/>
    <n v="333.4"/>
    <n v="222.2"/>
    <n v="217.9"/>
  </r>
  <r>
    <s v="Urban"/>
    <x v="0"/>
    <x v="11"/>
    <x v="11"/>
    <x v="31"/>
    <n v="332.2"/>
    <n v="336.8"/>
    <n v="333.3"/>
    <n v="219.5"/>
    <n v="216.5"/>
  </r>
  <r>
    <s v="Rural+Urban"/>
    <x v="0"/>
    <x v="11"/>
    <x v="11"/>
    <x v="32"/>
    <n v="331.4"/>
    <n v="339.90000000000003"/>
    <n v="333.4"/>
    <n v="221.1"/>
    <n v="217.39999999999998"/>
  </r>
  <r>
    <s v="Rural"/>
    <x v="0"/>
    <x v="12"/>
    <x v="12"/>
    <x v="33"/>
    <n v="332.9"/>
    <n v="345.3"/>
    <n v="334.4"/>
    <n v="222.7"/>
    <n v="218.2"/>
  </r>
  <r>
    <s v="Urban"/>
    <x v="0"/>
    <x v="12"/>
    <x v="12"/>
    <x v="34"/>
    <n v="333.7"/>
    <n v="338.8"/>
    <n v="333.4"/>
    <n v="220.10000000000002"/>
    <n v="216.7"/>
  </r>
  <r>
    <s v="Rural+Urban"/>
    <x v="0"/>
    <x v="12"/>
    <x v="12"/>
    <x v="35"/>
    <n v="333"/>
    <n v="342.7"/>
    <n v="333.9"/>
    <n v="221.7"/>
    <n v="217.60000000000002"/>
  </r>
  <r>
    <s v="Rural"/>
    <x v="1"/>
    <x v="0"/>
    <x v="13"/>
    <x v="36"/>
    <n v="334.2"/>
    <n v="347.2"/>
    <n v="336"/>
    <n v="223.5"/>
    <n v="218.89999999999998"/>
  </r>
  <r>
    <s v="Urban"/>
    <x v="1"/>
    <x v="0"/>
    <x v="13"/>
    <x v="37"/>
    <n v="336"/>
    <n v="340.4"/>
    <n v="335"/>
    <n v="221.8"/>
    <n v="217.7"/>
  </r>
  <r>
    <s v="Rural+Urban"/>
    <x v="1"/>
    <x v="0"/>
    <x v="13"/>
    <x v="38"/>
    <n v="334.79999999999995"/>
    <n v="344.4"/>
    <n v="335.5"/>
    <n v="222.9"/>
    <n v="218.5"/>
  </r>
  <r>
    <s v="Rural"/>
    <x v="1"/>
    <x v="1"/>
    <x v="14"/>
    <x v="39"/>
    <n v="335"/>
    <n v="348.3"/>
    <n v="337.4"/>
    <n v="224"/>
    <n v="219.60000000000002"/>
  </r>
  <r>
    <s v="Urban"/>
    <x v="1"/>
    <x v="1"/>
    <x v="14"/>
    <x v="40"/>
    <n v="337.5"/>
    <n v="341.7"/>
    <n v="336.7"/>
    <n v="222.39999999999998"/>
    <n v="219.10000000000002"/>
  </r>
  <r>
    <s v="Rural+Urban"/>
    <x v="1"/>
    <x v="1"/>
    <x v="14"/>
    <x v="41"/>
    <n v="335.70000000000005"/>
    <n v="345.6"/>
    <n v="337.1"/>
    <n v="223.5"/>
    <n v="219.4"/>
  </r>
  <r>
    <s v="Rural"/>
    <x v="1"/>
    <x v="2"/>
    <x v="15"/>
    <x v="42"/>
    <n v="336.1"/>
    <n v="349.6"/>
    <n v="339"/>
    <n v="224.60000000000002"/>
    <n v="220.3"/>
  </r>
  <r>
    <s v="Urban"/>
    <x v="1"/>
    <x v="2"/>
    <x v="15"/>
    <x v="43"/>
    <n v="339"/>
    <n v="343.09999999999997"/>
    <n v="338"/>
    <n v="222.5"/>
    <n v="220"/>
  </r>
  <r>
    <s v="Rural+Urban"/>
    <x v="1"/>
    <x v="2"/>
    <x v="15"/>
    <x v="44"/>
    <n v="337.1"/>
    <n v="346.9"/>
    <n v="338.4"/>
    <n v="223.9"/>
    <n v="220.2"/>
  </r>
  <r>
    <s v="Rural"/>
    <x v="1"/>
    <x v="3"/>
    <x v="16"/>
    <x v="45"/>
    <n v="337.4"/>
    <n v="352"/>
    <n v="340.6"/>
    <n v="224.60000000000002"/>
    <n v="220.7"/>
  </r>
  <r>
    <s v="Urban"/>
    <x v="1"/>
    <x v="3"/>
    <x v="16"/>
    <x v="46"/>
    <n v="340.20000000000005"/>
    <n v="344.5"/>
    <n v="339.8"/>
    <n v="222.10000000000002"/>
    <n v="220.1"/>
  </r>
  <r>
    <s v="Rural+Urban"/>
    <x v="1"/>
    <x v="3"/>
    <x v="16"/>
    <x v="47"/>
    <n v="338.4"/>
    <n v="349"/>
    <n v="340.2"/>
    <n v="223.7"/>
    <n v="220.5"/>
  </r>
  <r>
    <s v="Rural"/>
    <x v="1"/>
    <x v="4"/>
    <x v="17"/>
    <x v="48"/>
    <n v="339"/>
    <n v="354"/>
    <n v="341.5"/>
    <n v="224.8"/>
    <n v="221"/>
  </r>
  <r>
    <s v="Urban"/>
    <x v="1"/>
    <x v="4"/>
    <x v="17"/>
    <x v="49"/>
    <n v="341.5"/>
    <n v="345.9"/>
    <n v="341.29999999999995"/>
    <n v="222.39999999999998"/>
    <n v="220.5"/>
  </r>
  <r>
    <s v="Rural+Urban"/>
    <x v="1"/>
    <x v="4"/>
    <x v="17"/>
    <x v="50"/>
    <n v="339.8"/>
    <n v="350.79999999999995"/>
    <n v="341.4"/>
    <n v="223.8"/>
    <n v="220.89999999999998"/>
  </r>
  <r>
    <s v="Rural"/>
    <x v="1"/>
    <x v="5"/>
    <x v="18"/>
    <x v="51"/>
    <n v="341"/>
    <n v="356.3"/>
    <n v="343.1"/>
    <n v="226.60000000000002"/>
    <n v="220.8"/>
  </r>
  <r>
    <s v="Urban"/>
    <x v="1"/>
    <x v="5"/>
    <x v="18"/>
    <x v="52"/>
    <n v="343"/>
    <n v="347.3"/>
    <n v="343.29999999999995"/>
    <n v="222.7"/>
    <n v="220.10000000000002"/>
  </r>
  <r>
    <s v="Rural+Urban"/>
    <x v="1"/>
    <x v="5"/>
    <x v="18"/>
    <x v="53"/>
    <n v="341.7"/>
    <n v="352.7"/>
    <n v="343.3"/>
    <n v="225"/>
    <n v="220.6"/>
  </r>
  <r>
    <s v="Rural"/>
    <x v="1"/>
    <x v="6"/>
    <x v="19"/>
    <x v="54"/>
    <n v="342.9"/>
    <n v="359.3"/>
    <n v="345.7"/>
    <n v="228.5"/>
    <n v="222.2"/>
  </r>
  <r>
    <s v="Urban"/>
    <x v="1"/>
    <x v="6"/>
    <x v="19"/>
    <x v="55"/>
    <n v="346.9"/>
    <n v="349"/>
    <n v="347.5"/>
    <n v="224.6"/>
    <n v="221.2"/>
  </r>
  <r>
    <s v="Rural+Urban"/>
    <x v="1"/>
    <x v="6"/>
    <x v="19"/>
    <x v="56"/>
    <n v="344.2"/>
    <n v="355"/>
    <n v="346.8"/>
    <n v="227"/>
    <n v="221.9"/>
  </r>
  <r>
    <s v="Rural"/>
    <x v="1"/>
    <x v="7"/>
    <x v="20"/>
    <x v="57"/>
    <n v="344.5"/>
    <n v="360.4"/>
    <n v="347.6"/>
    <n v="228.60000000000002"/>
    <n v="223.4"/>
  </r>
  <r>
    <s v="Urban"/>
    <x v="1"/>
    <x v="7"/>
    <x v="20"/>
    <x v="58"/>
    <n v="349.8"/>
    <n v="350.6"/>
    <n v="350"/>
    <n v="224.3"/>
    <n v="222.7"/>
  </r>
  <r>
    <s v="Rural+Urban"/>
    <x v="1"/>
    <x v="7"/>
    <x v="20"/>
    <x v="59"/>
    <n v="346.2"/>
    <n v="356.4"/>
    <n v="349.1"/>
    <n v="226.8"/>
    <n v="223.2"/>
  </r>
  <r>
    <s v="Rural"/>
    <x v="1"/>
    <x v="8"/>
    <x v="21"/>
    <x v="60"/>
    <n v="345.8"/>
    <n v="362.2"/>
    <n v="349.4"/>
    <n v="228.6"/>
    <n v="223.6"/>
  </r>
  <r>
    <s v="Urban"/>
    <x v="1"/>
    <x v="8"/>
    <x v="21"/>
    <x v="61"/>
    <n v="351.29999999999995"/>
    <n v="352.1"/>
    <n v="351.6"/>
    <n v="223"/>
    <n v="222.3"/>
  </r>
  <r>
    <s v="Rural+Urban"/>
    <x v="1"/>
    <x v="8"/>
    <x v="21"/>
    <x v="62"/>
    <n v="347.59999999999997"/>
    <n v="358"/>
    <n v="350.79999999999995"/>
    <n v="226.3"/>
    <n v="223.2"/>
  </r>
  <r>
    <s v="Rural"/>
    <x v="1"/>
    <x v="9"/>
    <x v="22"/>
    <x v="63"/>
    <n v="347"/>
    <n v="365.3"/>
    <n v="351.1"/>
    <n v="229"/>
    <n v="224.6"/>
  </r>
  <r>
    <s v="Urban"/>
    <x v="1"/>
    <x v="9"/>
    <x v="22"/>
    <x v="64"/>
    <n v="351.59999999999997"/>
    <n v="353.4"/>
    <n v="352.7"/>
    <n v="223"/>
    <n v="222.7"/>
  </r>
  <r>
    <s v="Rural+Urban"/>
    <x v="1"/>
    <x v="9"/>
    <x v="22"/>
    <x v="65"/>
    <n v="348.29999999999995"/>
    <n v="360.6"/>
    <n v="352.2"/>
    <n v="226.5"/>
    <n v="223.89999999999998"/>
  </r>
  <r>
    <s v="Rural"/>
    <x v="1"/>
    <x v="11"/>
    <x v="23"/>
    <x v="66"/>
    <n v="348.2"/>
    <n v="366.70000000000005"/>
    <n v="352.4"/>
    <n v="229.3"/>
    <n v="224.7"/>
  </r>
  <r>
    <s v="Urban"/>
    <x v="1"/>
    <x v="11"/>
    <x v="23"/>
    <x v="67"/>
    <n v="353.20000000000005"/>
    <n v="355.2"/>
    <n v="353.8"/>
    <n v="222.3"/>
    <n v="222.6"/>
  </r>
  <r>
    <s v="Rural+Urban"/>
    <x v="1"/>
    <x v="11"/>
    <x v="23"/>
    <x v="60"/>
    <n v="349.6"/>
    <n v="362.1"/>
    <n v="353.4"/>
    <n v="226.3"/>
    <n v="223.89999999999998"/>
  </r>
  <r>
    <s v="Rural"/>
    <x v="1"/>
    <x v="12"/>
    <x v="24"/>
    <x v="68"/>
    <n v="349.2"/>
    <n v="367.7"/>
    <n v="352.4"/>
    <n v="228.9"/>
    <n v="225.60000000000002"/>
  </r>
  <r>
    <s v="Urban"/>
    <x v="1"/>
    <x v="12"/>
    <x v="24"/>
    <x v="69"/>
    <n v="354.1"/>
    <n v="356.5"/>
    <n v="354"/>
    <n v="221.8"/>
    <n v="223.60000000000002"/>
  </r>
  <r>
    <s v="Rural+Urban"/>
    <x v="1"/>
    <x v="12"/>
    <x v="24"/>
    <x v="70"/>
    <n v="350.7"/>
    <n v="363.2"/>
    <n v="353.5"/>
    <n v="225.8"/>
    <n v="224.89999999999998"/>
  </r>
  <r>
    <s v="Rural"/>
    <x v="2"/>
    <x v="0"/>
    <x v="25"/>
    <x v="71"/>
    <n v="351.2"/>
    <n v="370"/>
    <n v="354.4"/>
    <n v="229.4"/>
    <n v="226.8"/>
  </r>
  <r>
    <s v="Urban"/>
    <x v="2"/>
    <x v="0"/>
    <x v="25"/>
    <x v="72"/>
    <n v="355.4"/>
    <n v="357.3"/>
    <n v="355.3"/>
    <n v="221.3"/>
    <n v="225.10000000000002"/>
  </r>
  <r>
    <s v="Rural+Urban"/>
    <x v="2"/>
    <x v="0"/>
    <x v="25"/>
    <x v="73"/>
    <n v="352.3"/>
    <n v="364.9"/>
    <n v="355.09999999999997"/>
    <n v="225.9"/>
    <n v="226.2"/>
  </r>
  <r>
    <s v="Rural"/>
    <x v="2"/>
    <x v="1"/>
    <x v="26"/>
    <x v="74"/>
    <n v="354"/>
    <n v="373.1"/>
    <n v="356.4"/>
    <n v="230.9"/>
    <n v="228.5"/>
  </r>
  <r>
    <s v="Urban"/>
    <x v="2"/>
    <x v="1"/>
    <x v="26"/>
    <x v="75"/>
    <n v="356.2"/>
    <n v="358.4"/>
    <n v="356.20000000000005"/>
    <n v="220.8"/>
    <n v="225.8"/>
  </r>
  <r>
    <s v="Rural+Urban"/>
    <x v="2"/>
    <x v="1"/>
    <x v="26"/>
    <x v="76"/>
    <n v="354.20000000000005"/>
    <n v="367.2"/>
    <n v="356.5"/>
    <n v="226.4"/>
    <n v="227.5"/>
  </r>
  <r>
    <s v="Rural"/>
    <x v="2"/>
    <x v="2"/>
    <x v="27"/>
    <x v="77"/>
    <n v="355.7"/>
    <n v="374.4"/>
    <n v="358.20000000000005"/>
    <n v="232.2"/>
    <n v="229"/>
  </r>
  <r>
    <s v="Urban"/>
    <x v="2"/>
    <x v="2"/>
    <x v="27"/>
    <x v="78"/>
    <n v="358"/>
    <n v="359.5"/>
    <n v="357.2"/>
    <n v="222.8"/>
    <n v="225.6"/>
  </r>
  <r>
    <s v="Rural+Urban"/>
    <x v="2"/>
    <x v="2"/>
    <x v="27"/>
    <x v="79"/>
    <n v="355.9"/>
    <n v="368.4"/>
    <n v="357.9"/>
    <n v="228.2"/>
    <n v="227.7"/>
  </r>
  <r>
    <s v="Rural"/>
    <x v="2"/>
    <x v="3"/>
    <x v="28"/>
    <x v="80"/>
    <n v="357.9"/>
    <n v="375.7"/>
    <n v="360"/>
    <n v="233.10000000000002"/>
    <n v="230.2"/>
  </r>
  <r>
    <s v="Urban"/>
    <x v="2"/>
    <x v="3"/>
    <x v="28"/>
    <x v="81"/>
    <n v="359.9"/>
    <n v="360.6"/>
    <n v="359.3"/>
    <n v="223.10000000000002"/>
    <n v="226.39999999999998"/>
  </r>
  <r>
    <s v="Rural+Urban"/>
    <x v="2"/>
    <x v="3"/>
    <x v="28"/>
    <x v="82"/>
    <n v="357.9"/>
    <n v="369.6"/>
    <n v="359.9"/>
    <n v="228.8"/>
    <n v="228.8"/>
  </r>
  <r>
    <s v="Rural"/>
    <x v="2"/>
    <x v="4"/>
    <x v="29"/>
    <x v="83"/>
    <n v="360.3"/>
    <n v="378.2"/>
    <n v="361.6"/>
    <n v="235.2"/>
    <n v="231.7"/>
  </r>
  <r>
    <s v="Urban"/>
    <x v="2"/>
    <x v="4"/>
    <x v="29"/>
    <x v="84"/>
    <n v="362.5"/>
    <n v="361.4"/>
    <n v="360.3"/>
    <n v="225.7"/>
    <n v="227.3"/>
  </r>
  <r>
    <s v="Rural+Urban"/>
    <x v="2"/>
    <x v="4"/>
    <x v="29"/>
    <x v="85"/>
    <n v="360.29999999999995"/>
    <n v="371.4"/>
    <n v="361.20000000000005"/>
    <n v="231.2"/>
    <n v="230"/>
  </r>
  <r>
    <s v="Rural"/>
    <x v="2"/>
    <x v="5"/>
    <x v="30"/>
    <x v="86"/>
    <n v="364"/>
    <n v="381.5"/>
    <n v="363.8"/>
    <n v="236.8"/>
    <n v="233.4"/>
  </r>
  <r>
    <s v="Urban"/>
    <x v="2"/>
    <x v="5"/>
    <x v="30"/>
    <x v="87"/>
    <n v="364.3"/>
    <n v="363.1"/>
    <n v="362"/>
    <n v="226.8"/>
    <n v="227.9"/>
  </r>
  <r>
    <s v="Rural+Urban"/>
    <x v="2"/>
    <x v="5"/>
    <x v="30"/>
    <x v="88"/>
    <n v="363.1"/>
    <n v="374.1"/>
    <n v="363.2"/>
    <n v="232.7"/>
    <n v="231.3"/>
  </r>
  <r>
    <s v="Rural"/>
    <x v="2"/>
    <x v="6"/>
    <x v="31"/>
    <x v="89"/>
    <n v="365.5"/>
    <n v="382.6"/>
    <n v="365.8"/>
    <n v="237.1"/>
    <n v="233.5"/>
  </r>
  <r>
    <s v="Urban"/>
    <x v="2"/>
    <x v="6"/>
    <x v="31"/>
    <x v="90"/>
    <n v="366"/>
    <n v="364.1"/>
    <n v="364.8"/>
    <n v="226.8"/>
    <n v="227.7"/>
  </r>
  <r>
    <s v="Rural+Urban"/>
    <x v="2"/>
    <x v="6"/>
    <x v="31"/>
    <x v="91"/>
    <n v="364.8"/>
    <n v="375.1"/>
    <n v="365.6"/>
    <n v="232.8"/>
    <n v="231.3"/>
  </r>
  <r>
    <s v="Rural"/>
    <x v="2"/>
    <x v="7"/>
    <x v="32"/>
    <x v="92"/>
    <n v="366.8"/>
    <n v="384.8"/>
    <n v="368.20000000000005"/>
    <n v="237.39999999999998"/>
    <n v="233.6"/>
  </r>
  <r>
    <s v="Urban"/>
    <x v="2"/>
    <x v="7"/>
    <x v="32"/>
    <x v="93"/>
    <n v="367.59999999999997"/>
    <n v="364.8"/>
    <n v="367.1"/>
    <n v="225.2"/>
    <n v="228.6"/>
  </r>
  <r>
    <s v="Rural+Urban"/>
    <x v="2"/>
    <x v="7"/>
    <x v="32"/>
    <x v="94"/>
    <n v="366.2"/>
    <n v="376.70000000000005"/>
    <n v="368"/>
    <n v="232.3"/>
    <n v="231.7"/>
  </r>
  <r>
    <s v="Rural"/>
    <x v="2"/>
    <x v="8"/>
    <x v="33"/>
    <x v="95"/>
    <n v="369.4"/>
    <n v="387.1"/>
    <n v="370.6"/>
    <n v="237.5"/>
    <n v="235.10000000000002"/>
  </r>
  <r>
    <s v="Urban"/>
    <x v="2"/>
    <x v="8"/>
    <x v="33"/>
    <x v="96"/>
    <n v="368.2"/>
    <n v="365.8"/>
    <n v="368.5"/>
    <n v="224.2"/>
    <n v="230"/>
  </r>
  <r>
    <s v="Rural+Urban"/>
    <x v="2"/>
    <x v="8"/>
    <x v="33"/>
    <x v="97"/>
    <n v="367.8"/>
    <n v="378.5"/>
    <n v="369.9"/>
    <n v="231.7"/>
    <n v="233.2"/>
  </r>
  <r>
    <s v="Rural"/>
    <x v="2"/>
    <x v="9"/>
    <x v="34"/>
    <x v="98"/>
    <n v="370.8"/>
    <n v="389"/>
    <n v="372.6"/>
    <n v="238.2"/>
    <n v="236.2"/>
  </r>
  <r>
    <s v="Urban"/>
    <x v="2"/>
    <x v="9"/>
    <x v="34"/>
    <x v="99"/>
    <n v="369.5"/>
    <n v="366.79999999999995"/>
    <n v="369.6"/>
    <n v="224.2"/>
    <n v="231.2"/>
  </r>
  <r>
    <s v="Rural+Urban"/>
    <x v="2"/>
    <x v="9"/>
    <x v="34"/>
    <x v="100"/>
    <n v="369.1"/>
    <n v="380.1"/>
    <n v="371.3"/>
    <n v="232.2"/>
    <n v="234.3"/>
  </r>
  <r>
    <s v="Rural"/>
    <x v="2"/>
    <x v="11"/>
    <x v="35"/>
    <x v="101"/>
    <n v="372.7"/>
    <n v="391.79999999999995"/>
    <n v="374.3"/>
    <n v="239.6"/>
    <n v="236.8"/>
  </r>
  <r>
    <s v="Urban"/>
    <x v="2"/>
    <x v="11"/>
    <x v="35"/>
    <x v="102"/>
    <n v="372.1"/>
    <n v="368.5"/>
    <n v="370.5"/>
    <n v="224.39999999999998"/>
    <n v="231.39999999999998"/>
  </r>
  <r>
    <s v="Rural+Urban"/>
    <x v="2"/>
    <x v="11"/>
    <x v="35"/>
    <x v="103"/>
    <n v="370.9"/>
    <n v="382.4"/>
    <n v="372.6"/>
    <n v="233.1"/>
    <n v="234.7"/>
  </r>
  <r>
    <s v="Rural"/>
    <x v="2"/>
    <x v="12"/>
    <x v="36"/>
    <x v="104"/>
    <n v="374.5"/>
    <n v="392.9"/>
    <n v="374"/>
    <n v="239.7"/>
    <n v="237.2"/>
  </r>
  <r>
    <s v="Urban"/>
    <x v="2"/>
    <x v="12"/>
    <x v="36"/>
    <x v="105"/>
    <n v="372.99999999999994"/>
    <n v="369.4"/>
    <n v="370"/>
    <n v="225.3"/>
    <n v="231.8"/>
  </r>
  <r>
    <s v="Rural+Urban"/>
    <x v="2"/>
    <x v="12"/>
    <x v="36"/>
    <x v="106"/>
    <n v="372.4"/>
    <n v="383.5"/>
    <n v="372.2"/>
    <n v="233.5"/>
    <n v="235.10000000000002"/>
  </r>
  <r>
    <s v="Rural"/>
    <x v="3"/>
    <x v="0"/>
    <x v="37"/>
    <x v="107"/>
    <n v="375.1"/>
    <n v="394.70000000000005"/>
    <n v="376.2"/>
    <n v="239.8"/>
    <n v="238.60000000000002"/>
  </r>
  <r>
    <s v="Urban"/>
    <x v="3"/>
    <x v="0"/>
    <x v="37"/>
    <x v="108"/>
    <n v="374.8"/>
    <n v="370.5"/>
    <n v="371.4"/>
    <n v="225.8"/>
    <n v="233.1"/>
  </r>
  <r>
    <s v="Rural+Urban"/>
    <x v="3"/>
    <x v="0"/>
    <x v="37"/>
    <x v="109"/>
    <n v="373.5"/>
    <n v="384.9"/>
    <n v="373.90000000000003"/>
    <n v="233.8"/>
    <n v="236.5"/>
  </r>
  <r>
    <s v="Rural"/>
    <x v="3"/>
    <x v="1"/>
    <x v="38"/>
    <x v="110"/>
    <n v="377.6"/>
    <n v="397.1"/>
    <n v="378.6"/>
    <n v="241.4"/>
    <n v="241.1"/>
  </r>
  <r>
    <s v="Urban"/>
    <x v="3"/>
    <x v="1"/>
    <x v="38"/>
    <x v="111"/>
    <n v="376"/>
    <n v="371.6"/>
    <n v="372.5"/>
    <n v="225.1"/>
    <n v="235.7"/>
  </r>
  <r>
    <s v="Rural+Urban"/>
    <x v="3"/>
    <x v="1"/>
    <x v="38"/>
    <x v="112"/>
    <n v="375.29999999999995"/>
    <n v="386.9"/>
    <n v="375.6"/>
    <n v="234.5"/>
    <n v="239.1"/>
  </r>
  <r>
    <s v="Rural"/>
    <x v="3"/>
    <x v="2"/>
    <x v="39"/>
    <x v="113"/>
    <n v="378.6"/>
    <n v="398.40000000000003"/>
    <n v="380.1"/>
    <n v="240.6"/>
    <n v="242.2"/>
  </r>
  <r>
    <s v="Urban"/>
    <x v="3"/>
    <x v="2"/>
    <x v="39"/>
    <x v="114"/>
    <n v="377"/>
    <n v="372.2"/>
    <n v="373.6"/>
    <n v="223.3"/>
    <n v="236.8"/>
  </r>
  <r>
    <s v="Rural+Urban"/>
    <x v="3"/>
    <x v="2"/>
    <x v="39"/>
    <x v="115"/>
    <n v="376.40000000000003"/>
    <n v="387.9"/>
    <n v="376.9"/>
    <n v="233.3"/>
    <n v="240.2"/>
  </r>
  <r>
    <s v="Rural"/>
    <x v="3"/>
    <x v="3"/>
    <x v="40"/>
    <x v="116"/>
    <n v="380.4"/>
    <n v="400"/>
    <n v="381.5"/>
    <n v="241.4"/>
    <n v="243.60000000000002"/>
  </r>
  <r>
    <s v="Urban"/>
    <x v="3"/>
    <x v="3"/>
    <x v="40"/>
    <x v="117"/>
    <n v="379.2"/>
    <n v="373.1"/>
    <n v="376"/>
    <n v="224.6"/>
    <n v="237.6"/>
  </r>
  <r>
    <s v="Rural+Urban"/>
    <x v="3"/>
    <x v="3"/>
    <x v="40"/>
    <x v="118"/>
    <n v="378.2"/>
    <n v="389.20000000000005"/>
    <n v="378.8"/>
    <n v="234.39999999999998"/>
    <n v="241.3"/>
  </r>
  <r>
    <s v="Rural"/>
    <x v="3"/>
    <x v="4"/>
    <x v="41"/>
    <x v="119"/>
    <n v="382.1"/>
    <n v="401.3"/>
    <n v="383.6"/>
    <n v="242.5"/>
    <n v="245.5"/>
  </r>
  <r>
    <s v="Urban"/>
    <x v="3"/>
    <x v="4"/>
    <x v="41"/>
    <x v="120"/>
    <n v="380.7"/>
    <n v="374.1"/>
    <n v="377.2"/>
    <n v="225.7"/>
    <n v="238.8"/>
  </r>
  <r>
    <s v="Rural+Urban"/>
    <x v="3"/>
    <x v="4"/>
    <x v="41"/>
    <x v="121"/>
    <n v="379.9"/>
    <n v="390.4"/>
    <n v="380.5"/>
    <n v="235.5"/>
    <n v="242.9"/>
  </r>
  <r>
    <s v="Rural"/>
    <x v="3"/>
    <x v="5"/>
    <x v="42"/>
    <x v="122"/>
    <n v="384.59999999999997"/>
    <n v="403.5"/>
    <n v="385"/>
    <n v="244.3"/>
    <n v="246.10000000000002"/>
  </r>
  <r>
    <s v="Urban"/>
    <x v="3"/>
    <x v="5"/>
    <x v="42"/>
    <x v="123"/>
    <n v="382.20000000000005"/>
    <n v="375.29999999999995"/>
    <n v="378"/>
    <n v="227.8"/>
    <n v="239.39999999999998"/>
  </r>
  <r>
    <s v="Rural+Urban"/>
    <x v="3"/>
    <x v="5"/>
    <x v="42"/>
    <x v="124"/>
    <n v="381.9"/>
    <n v="392.1"/>
    <n v="381.6"/>
    <n v="237.5"/>
    <n v="243.5"/>
  </r>
  <r>
    <s v="Rural"/>
    <x v="3"/>
    <x v="6"/>
    <x v="43"/>
    <x v="125"/>
    <n v="387"/>
    <n v="405.9"/>
    <n v="387.2"/>
    <n v="244.6"/>
    <n v="247.60000000000002"/>
  </r>
  <r>
    <s v="Urban"/>
    <x v="3"/>
    <x v="6"/>
    <x v="43"/>
    <x v="126"/>
    <n v="383.1"/>
    <n v="375.9"/>
    <n v="380.70000000000005"/>
    <n v="227.2"/>
    <n v="240.9"/>
  </r>
  <r>
    <s v="Rural+Urban"/>
    <x v="3"/>
    <x v="6"/>
    <x v="43"/>
    <x v="127"/>
    <n v="383.6"/>
    <n v="393.8"/>
    <n v="384.1"/>
    <n v="237.3"/>
    <n v="245"/>
  </r>
  <r>
    <s v="Rural"/>
    <x v="3"/>
    <x v="7"/>
    <x v="44"/>
    <x v="128"/>
    <n v="388.59999999999997"/>
    <n v="407.9"/>
    <n v="389.79999999999995"/>
    <n v="245.1"/>
    <n v="249"/>
  </r>
  <r>
    <s v="Urban"/>
    <x v="3"/>
    <x v="7"/>
    <x v="44"/>
    <x v="129"/>
    <n v="384.1"/>
    <n v="377"/>
    <n v="382.7"/>
    <n v="225.10000000000002"/>
    <n v="242.10000000000002"/>
  </r>
  <r>
    <s v="Rural+Urban"/>
    <x v="3"/>
    <x v="7"/>
    <x v="44"/>
    <x v="130"/>
    <n v="385"/>
    <n v="395.49999999999994"/>
    <n v="386.4"/>
    <n v="236.7"/>
    <n v="246.3"/>
  </r>
  <r>
    <s v="Rural"/>
    <x v="3"/>
    <x v="8"/>
    <x v="45"/>
    <x v="131"/>
    <n v="390.5"/>
    <n v="409.8"/>
    <n v="391.2"/>
    <n v="246.7"/>
    <n v="250.6"/>
  </r>
  <r>
    <s v="Urban"/>
    <x v="3"/>
    <x v="8"/>
    <x v="45"/>
    <x v="132"/>
    <n v="385.2"/>
    <n v="378"/>
    <n v="383.79999999999995"/>
    <n v="226.6"/>
    <n v="242.60000000000002"/>
  </r>
  <r>
    <s v="Rural+Urban"/>
    <x v="3"/>
    <x v="8"/>
    <x v="45"/>
    <x v="133"/>
    <n v="386.7"/>
    <n v="397"/>
    <n v="387.6"/>
    <n v="238.39999999999998"/>
    <n v="247.5"/>
  </r>
  <r>
    <s v="Rural"/>
    <x v="3"/>
    <x v="9"/>
    <x v="46"/>
    <x v="134"/>
    <n v="393.09999999999997"/>
    <n v="412.7"/>
    <n v="393.5"/>
    <n v="247.60000000000002"/>
    <n v="251.7"/>
  </r>
  <r>
    <s v="Urban"/>
    <x v="3"/>
    <x v="9"/>
    <x v="46"/>
    <x v="135"/>
    <n v="386.4"/>
    <n v="379"/>
    <n v="385.1"/>
    <n v="228"/>
    <n v="242.6"/>
  </r>
  <r>
    <s v="Rural+Urban"/>
    <x v="3"/>
    <x v="9"/>
    <x v="46"/>
    <x v="136"/>
    <n v="388.70000000000005"/>
    <n v="399.1"/>
    <n v="389.5"/>
    <n v="239.5"/>
    <n v="248.2"/>
  </r>
  <r>
    <s v="Rural"/>
    <x v="3"/>
    <x v="11"/>
    <x v="47"/>
    <x v="137"/>
    <n v="394.20000000000005"/>
    <n v="413.59999999999997"/>
    <n v="394.9"/>
    <n v="248.5"/>
    <n v="252.6"/>
  </r>
  <r>
    <s v="Urban"/>
    <x v="3"/>
    <x v="11"/>
    <x v="47"/>
    <x v="138"/>
    <n v="387.3"/>
    <n v="380.2"/>
    <n v="385.9"/>
    <n v="229.60000000000002"/>
    <n v="243.39999999999998"/>
  </r>
  <r>
    <s v="Rural+Urban"/>
    <x v="3"/>
    <x v="11"/>
    <x v="47"/>
    <x v="139"/>
    <n v="389.8"/>
    <n v="400.1"/>
    <n v="390.5"/>
    <n v="240.7"/>
    <n v="249"/>
  </r>
  <r>
    <s v="Rural"/>
    <x v="3"/>
    <x v="12"/>
    <x v="48"/>
    <x v="140"/>
    <n v="396"/>
    <n v="415.3"/>
    <n v="395.59999999999997"/>
    <n v="250.6"/>
    <n v="251.6"/>
  </r>
  <r>
    <s v="Urban"/>
    <x v="3"/>
    <x v="12"/>
    <x v="48"/>
    <x v="141"/>
    <n v="388.20000000000005"/>
    <n v="381"/>
    <n v="385.8"/>
    <n v="231.5"/>
    <n v="242.2"/>
  </r>
  <r>
    <s v="Rural+Urban"/>
    <x v="3"/>
    <x v="12"/>
    <x v="48"/>
    <x v="142"/>
    <n v="391.20000000000005"/>
    <n v="401.5"/>
    <n v="390.79999999999995"/>
    <n v="242.6"/>
    <n v="248"/>
  </r>
  <r>
    <s v="Rural"/>
    <x v="4"/>
    <x v="0"/>
    <x v="49"/>
    <x v="143"/>
    <n v="396.70000000000005"/>
    <n v="416.5"/>
    <n v="397.4"/>
    <n v="251.2"/>
    <n v="252.2"/>
  </r>
  <r>
    <s v="Urban"/>
    <x v="4"/>
    <x v="0"/>
    <x v="49"/>
    <x v="144"/>
    <n v="389.70000000000005"/>
    <n v="381.5"/>
    <n v="387.1"/>
    <n v="233.2"/>
    <n v="243.5"/>
  </r>
  <r>
    <s v="Rural+Urban"/>
    <x v="4"/>
    <x v="0"/>
    <x v="49"/>
    <x v="145"/>
    <n v="392.4"/>
    <n v="402.4"/>
    <n v="392.3"/>
    <n v="243.8"/>
    <n v="248.8"/>
  </r>
  <r>
    <s v="Rural"/>
    <x v="4"/>
    <x v="1"/>
    <x v="50"/>
    <x v="146"/>
    <n v="398.4"/>
    <n v="416.90000000000003"/>
    <n v="399"/>
    <n v="252.7"/>
    <n v="253.3"/>
  </r>
  <r>
    <s v="Urban"/>
    <x v="4"/>
    <x v="1"/>
    <x v="50"/>
    <x v="147"/>
    <n v="390.9"/>
    <n v="382.3"/>
    <n v="388.20000000000005"/>
    <n v="234.7"/>
    <n v="244.60000000000002"/>
  </r>
  <r>
    <s v="Rural+Urban"/>
    <x v="4"/>
    <x v="1"/>
    <x v="50"/>
    <x v="148"/>
    <n v="393.8"/>
    <n v="403"/>
    <n v="393.6"/>
    <n v="245.3"/>
    <n v="250"/>
  </r>
  <r>
    <s v="Rural"/>
    <x v="4"/>
    <x v="2"/>
    <x v="51"/>
    <x v="149"/>
    <n v="399.9"/>
    <n v="418.59999999999997"/>
    <n v="400.4"/>
    <n v="254"/>
    <n v="253.89999999999998"/>
  </r>
  <r>
    <s v="Urban"/>
    <x v="4"/>
    <x v="2"/>
    <x v="51"/>
    <x v="150"/>
    <n v="392.5"/>
    <n v="383.20000000000005"/>
    <n v="389.5"/>
    <n v="236.39999999999998"/>
    <n v="244.8"/>
  </r>
  <r>
    <s v="Rural+Urban"/>
    <x v="4"/>
    <x v="2"/>
    <x v="51"/>
    <x v="151"/>
    <n v="395.20000000000005"/>
    <n v="404.29999999999995"/>
    <n v="395"/>
    <n v="246.7"/>
    <n v="250.39999999999998"/>
  </r>
  <r>
    <s v="Rural"/>
    <x v="4"/>
    <x v="3"/>
    <x v="52"/>
    <x v="152"/>
    <n v="400.20000000000005"/>
    <n v="420.80000000000007"/>
    <n v="401.7"/>
    <n v="254.2"/>
    <n v="254.7"/>
  </r>
  <r>
    <s v="Urban"/>
    <x v="4"/>
    <x v="3"/>
    <x v="52"/>
    <x v="153"/>
    <n v="393.1"/>
    <n v="384.2"/>
    <n v="391.29999999999995"/>
    <n v="235.7"/>
    <n v="245.60000000000002"/>
  </r>
  <r>
    <s v="Rural+Urban"/>
    <x v="4"/>
    <x v="3"/>
    <x v="52"/>
    <x v="154"/>
    <n v="395.6"/>
    <n v="406.1"/>
    <n v="396.6"/>
    <n v="246.4"/>
    <n v="251.2"/>
  </r>
  <r>
    <s v="Rural"/>
    <x v="4"/>
    <x v="4"/>
    <x v="53"/>
    <x v="155"/>
    <n v="402.79999999999995"/>
    <n v="421.6"/>
    <n v="403.3"/>
    <n v="254.4"/>
    <n v="255.10000000000002"/>
  </r>
  <r>
    <s v="Urban"/>
    <x v="4"/>
    <x v="4"/>
    <x v="53"/>
    <x v="156"/>
    <n v="393.70000000000005"/>
    <n v="384.9"/>
    <n v="392.40000000000003"/>
    <n v="234.39999999999998"/>
    <n v="245.6"/>
  </r>
  <r>
    <s v="Rural+Urban"/>
    <x v="4"/>
    <x v="4"/>
    <x v="53"/>
    <x v="157"/>
    <n v="397.2"/>
    <n v="406.8"/>
    <n v="397.8"/>
    <n v="246.10000000000002"/>
    <n v="251.4"/>
  </r>
  <r>
    <s v="Rural"/>
    <x v="4"/>
    <x v="5"/>
    <x v="54"/>
    <x v="158"/>
    <n v="403.70000000000005"/>
    <n v="423.09999999999997"/>
    <n v="403.5"/>
    <n v="254.20000000000002"/>
    <n v="255.4"/>
  </r>
  <r>
    <s v="Urban"/>
    <x v="4"/>
    <x v="5"/>
    <x v="54"/>
    <x v="159"/>
    <n v="394.2"/>
    <n v="384.9"/>
    <n v="392.5"/>
    <n v="232.9"/>
    <n v="246.3"/>
  </r>
  <r>
    <s v="Rural+Urban"/>
    <x v="4"/>
    <x v="5"/>
    <x v="54"/>
    <x v="160"/>
    <n v="397.9"/>
    <n v="407.7"/>
    <n v="398"/>
    <n v="245.3"/>
    <n v="251.9"/>
  </r>
  <r>
    <s v="Rural"/>
    <x v="4"/>
    <x v="6"/>
    <x v="55"/>
    <x v="161"/>
    <n v="406.6"/>
    <n v="425.9"/>
    <n v="407.29999999999995"/>
    <n v="254.4"/>
    <n v="256.5"/>
  </r>
  <r>
    <s v="Urban"/>
    <x v="4"/>
    <x v="6"/>
    <x v="55"/>
    <x v="162"/>
    <n v="397"/>
    <n v="385.70000000000005"/>
    <n v="395.3"/>
    <n v="232.9"/>
    <n v="247.4"/>
  </r>
  <r>
    <s v="Rural+Urban"/>
    <x v="4"/>
    <x v="6"/>
    <x v="55"/>
    <x v="163"/>
    <n v="400.69999999999993"/>
    <n v="409.7"/>
    <n v="401.3"/>
    <n v="245.4"/>
    <n v="253"/>
  </r>
  <r>
    <s v="Rural"/>
    <x v="4"/>
    <x v="7"/>
    <x v="56"/>
    <x v="164"/>
    <n v="410.2"/>
    <n v="429"/>
    <n v="411.90000000000003"/>
    <n v="256.7"/>
    <n v="258.39999999999998"/>
  </r>
  <r>
    <s v="Urban"/>
    <x v="4"/>
    <x v="7"/>
    <x v="56"/>
    <x v="165"/>
    <n v="400"/>
    <n v="388.4"/>
    <n v="397.8"/>
    <n v="233.5"/>
    <n v="249"/>
  </r>
  <r>
    <s v="Rural+Urban"/>
    <x v="4"/>
    <x v="7"/>
    <x v="56"/>
    <x v="166"/>
    <n v="403.90000000000003"/>
    <n v="412.6"/>
    <n v="404.80000000000007"/>
    <n v="247.10000000000002"/>
    <n v="254.7"/>
  </r>
  <r>
    <s v="Rural"/>
    <x v="4"/>
    <x v="8"/>
    <x v="57"/>
    <x v="167"/>
    <n v="412.40000000000003"/>
    <n v="430.99999999999994"/>
    <n v="413.20000000000005"/>
    <n v="258.60000000000002"/>
    <n v="260.10000000000002"/>
  </r>
  <r>
    <s v="Urban"/>
    <x v="4"/>
    <x v="8"/>
    <x v="57"/>
    <x v="168"/>
    <n v="402.6"/>
    <n v="389.9"/>
    <n v="399.69999999999993"/>
    <n v="236.3"/>
    <n v="250.5"/>
  </r>
  <r>
    <s v="Rural+Urban"/>
    <x v="4"/>
    <x v="8"/>
    <x v="57"/>
    <x v="169"/>
    <n v="406.20000000000005"/>
    <n v="414.5"/>
    <n v="406.4"/>
    <n v="249.3"/>
    <n v="256.3"/>
  </r>
  <r>
    <s v="Rural"/>
    <x v="4"/>
    <x v="9"/>
    <x v="58"/>
    <x v="170"/>
    <n v="414.2"/>
    <n v="433.99999999999994"/>
    <n v="415.80000000000007"/>
    <n v="259.10000000000002"/>
    <n v="261.60000000000002"/>
  </r>
  <r>
    <s v="Urban"/>
    <x v="4"/>
    <x v="9"/>
    <x v="58"/>
    <x v="171"/>
    <n v="403.9"/>
    <n v="391.5"/>
    <n v="401.90000000000003"/>
    <n v="237.6"/>
    <n v="251.2"/>
  </r>
  <r>
    <s v="Rural+Urban"/>
    <x v="4"/>
    <x v="9"/>
    <x v="58"/>
    <x v="172"/>
    <n v="407.7"/>
    <n v="416.90000000000003"/>
    <n v="408.79999999999995"/>
    <n v="250"/>
    <n v="257.5"/>
  </r>
  <r>
    <s v="Rural"/>
    <x v="4"/>
    <x v="11"/>
    <x v="59"/>
    <x v="173"/>
    <n v="417.49999999999994"/>
    <n v="437"/>
    <n v="419.5"/>
    <n v="262.7"/>
    <n v="263.89999999999998"/>
  </r>
  <r>
    <s v="Urban"/>
    <x v="4"/>
    <x v="11"/>
    <x v="59"/>
    <x v="174"/>
    <n v="406.19999999999993"/>
    <n v="393.9"/>
    <n v="404"/>
    <n v="241"/>
    <n v="252.3"/>
  </r>
  <r>
    <s v="Rural+Urban"/>
    <x v="4"/>
    <x v="11"/>
    <x v="59"/>
    <x v="175"/>
    <n v="410.5"/>
    <n v="419.6"/>
    <n v="411.6"/>
    <n v="253.60000000000002"/>
    <n v="259.39999999999998"/>
  </r>
  <r>
    <s v="Rural"/>
    <x v="4"/>
    <x v="12"/>
    <x v="60"/>
    <x v="176"/>
    <n v="418.5"/>
    <n v="437.09999999999997"/>
    <n v="419.70000000000005"/>
    <n v="264.60000000000002"/>
    <n v="263.89999999999998"/>
  </r>
  <r>
    <s v="Urban"/>
    <x v="4"/>
    <x v="12"/>
    <x v="60"/>
    <x v="177"/>
    <n v="407.70000000000005"/>
    <n v="395.2"/>
    <n v="405.09999999999997"/>
    <n v="242.1"/>
    <n v="252.79999999999998"/>
  </r>
  <r>
    <s v="Rural+Urban"/>
    <x v="4"/>
    <x v="12"/>
    <x v="60"/>
    <x v="178"/>
    <n v="411.79999999999995"/>
    <n v="420.2"/>
    <n v="412.29999999999995"/>
    <n v="255.1"/>
    <n v="259.60000000000002"/>
  </r>
  <r>
    <s v="Rural"/>
    <x v="5"/>
    <x v="0"/>
    <x v="61"/>
    <x v="179"/>
    <n v="420.2"/>
    <n v="438.1"/>
    <n v="421.80000000000007"/>
    <n v="265"/>
    <n v="264.60000000000002"/>
  </r>
  <r>
    <s v="Urban"/>
    <x v="5"/>
    <x v="0"/>
    <x v="61"/>
    <x v="180"/>
    <n v="409.7"/>
    <n v="396.29999999999995"/>
    <n v="407"/>
    <n v="243.6"/>
    <n v="254.5"/>
  </r>
  <r>
    <s v="Rural+Urban"/>
    <x v="5"/>
    <x v="0"/>
    <x v="61"/>
    <x v="181"/>
    <n v="413.5"/>
    <n v="421.3"/>
    <n v="414.3"/>
    <n v="255.89999999999998"/>
    <n v="260.60000000000002"/>
  </r>
  <r>
    <s v="Rural"/>
    <x v="5"/>
    <x v="1"/>
    <x v="62"/>
    <x v="182"/>
    <n v="420.1"/>
    <n v="438.90000000000003"/>
    <n v="422.70000000000005"/>
    <n v="265.7"/>
    <n v="265"/>
  </r>
  <r>
    <s v="Urban"/>
    <x v="5"/>
    <x v="1"/>
    <x v="62"/>
    <x v="183"/>
    <n v="412.3"/>
    <n v="397.09999999999997"/>
    <n v="408.40000000000003"/>
    <n v="244.7"/>
    <n v="256"/>
  </r>
  <r>
    <s v="Rural+Urban"/>
    <x v="5"/>
    <x v="1"/>
    <x v="62"/>
    <x v="184"/>
    <n v="414.4"/>
    <n v="422"/>
    <n v="415.5"/>
    <n v="256.89999999999998"/>
    <n v="261.5"/>
  </r>
  <r>
    <s v="Rural"/>
    <x v="5"/>
    <x v="2"/>
    <x v="63"/>
    <x v="185"/>
    <n v="423.5"/>
    <n v="440.5"/>
    <n v="424.59999999999997"/>
    <n v="267.2"/>
    <n v="266"/>
  </r>
  <r>
    <s v="Urban"/>
    <x v="5"/>
    <x v="2"/>
    <x v="63"/>
    <x v="186"/>
    <n v="413.6"/>
    <n v="398.59999999999997"/>
    <n v="410.6"/>
    <n v="244.2"/>
    <n v="257.2"/>
  </r>
  <r>
    <s v="Rural+Urban"/>
    <x v="5"/>
    <x v="2"/>
    <x v="63"/>
    <x v="187"/>
    <n v="417.00000000000006"/>
    <n v="423.6"/>
    <n v="417.40000000000003"/>
    <n v="257.5"/>
    <n v="262.5"/>
  </r>
  <r>
    <s v="Rural"/>
    <x v="5"/>
    <x v="3"/>
    <x v="64"/>
    <x v="188"/>
    <n v="426.3"/>
    <n v="442.5"/>
    <n v="427.5"/>
    <n v="269.10000000000002"/>
    <n v="268"/>
  </r>
  <r>
    <s v="Urban"/>
    <x v="5"/>
    <x v="3"/>
    <x v="64"/>
    <x v="189"/>
    <n v="414.99999999999994"/>
    <n v="401.40000000000003"/>
    <n v="414.40000000000003"/>
    <n v="243.5"/>
    <n v="258.89999999999998"/>
  </r>
  <r>
    <s v="Rural+Urban"/>
    <x v="5"/>
    <x v="3"/>
    <x v="64"/>
    <x v="190"/>
    <n v="419.50000000000006"/>
    <n v="426"/>
    <n v="420.9"/>
    <n v="258.39999999999998"/>
    <n v="264.39999999999998"/>
  </r>
  <r>
    <s v="Rural"/>
    <x v="5"/>
    <x v="4"/>
    <x v="65"/>
    <x v="191"/>
    <n v="428.9"/>
    <n v="444.7"/>
    <n v="429.4"/>
    <n v="270.70000000000005"/>
    <n v="269.60000000000002"/>
  </r>
  <r>
    <s v="Urban"/>
    <x v="5"/>
    <x v="4"/>
    <x v="65"/>
    <x v="192"/>
    <n v="417.20000000000005"/>
    <n v="403.5"/>
    <n v="416.1"/>
    <n v="244.5"/>
    <n v="260.10000000000002"/>
  </r>
  <r>
    <s v="Rural+Urban"/>
    <x v="5"/>
    <x v="4"/>
    <x v="65"/>
    <x v="139"/>
    <n v="421.80000000000007"/>
    <n v="428.09999999999997"/>
    <n v="422.70000000000005"/>
    <n v="259.8"/>
    <n v="265.89999999999998"/>
  </r>
  <r>
    <s v="Rural"/>
    <x v="5"/>
    <x v="5"/>
    <x v="66"/>
    <x v="193"/>
    <n v="430.70000000000005"/>
    <n v="446.3"/>
    <n v="429.79999999999995"/>
    <n v="272.5"/>
    <n v="269.8"/>
  </r>
  <r>
    <s v="Urban"/>
    <x v="5"/>
    <x v="5"/>
    <x v="66"/>
    <x v="194"/>
    <n v="419"/>
    <n v="405"/>
    <n v="416.8"/>
    <n v="246.9"/>
    <n v="260.79999999999995"/>
  </r>
  <r>
    <s v="Rural+Urban"/>
    <x v="5"/>
    <x v="5"/>
    <x v="66"/>
    <x v="195"/>
    <n v="423.5"/>
    <n v="429.7"/>
    <n v="423.2"/>
    <n v="261.8"/>
    <n v="266.29999999999995"/>
  </r>
  <r>
    <s v="Rural"/>
    <x v="5"/>
    <x v="6"/>
    <x v="67"/>
    <x v="196"/>
    <n v="430.5"/>
    <n v="447.20000000000005"/>
    <n v="432.5"/>
    <n v="274.3"/>
    <n v="270.39999999999998"/>
  </r>
  <r>
    <s v="Urban"/>
    <x v="5"/>
    <x v="6"/>
    <x v="67"/>
    <x v="197"/>
    <n v="420.59999999999997"/>
    <n v="406.4"/>
    <n v="421.2"/>
    <n v="248.2"/>
    <n v="261.79999999999995"/>
  </r>
  <r>
    <s v="Rural+Urban"/>
    <x v="5"/>
    <x v="6"/>
    <x v="67"/>
    <x v="198"/>
    <n v="423.8"/>
    <n v="430.80000000000007"/>
    <n v="426.9"/>
    <n v="263.29999999999995"/>
    <n v="267.10000000000002"/>
  </r>
  <r>
    <s v="Rural"/>
    <x v="5"/>
    <x v="7"/>
    <x v="68"/>
    <x v="199"/>
    <n v="431.6"/>
    <n v="449.2"/>
    <n v="435.29999999999995"/>
    <n v="276"/>
    <n v="270.70000000000005"/>
  </r>
  <r>
    <s v="Urban"/>
    <x v="5"/>
    <x v="7"/>
    <x v="68"/>
    <x v="200"/>
    <n v="422.9"/>
    <n v="407.3"/>
    <n v="424.3"/>
    <n v="250.5"/>
    <n v="263.20000000000005"/>
  </r>
  <r>
    <s v="Rural+Urban"/>
    <x v="5"/>
    <x v="7"/>
    <x v="68"/>
    <x v="201"/>
    <n v="425.4"/>
    <n v="432.20000000000005"/>
    <n v="430"/>
    <n v="265.2"/>
    <n v="267.79999999999995"/>
  </r>
  <r>
    <s v="Rural"/>
    <x v="5"/>
    <x v="8"/>
    <x v="69"/>
    <x v="202"/>
    <n v="435.1"/>
    <n v="449.5"/>
    <n v="436.9"/>
    <n v="278.89999999999998"/>
    <n v="272"/>
  </r>
  <r>
    <s v="Urban"/>
    <x v="5"/>
    <x v="8"/>
    <x v="69"/>
    <x v="203"/>
    <n v="425.4"/>
    <n v="409.20000000000005"/>
    <n v="425.40000000000003"/>
    <n v="253.7"/>
    <n v="265"/>
  </r>
  <r>
    <s v="Rural+Urban"/>
    <x v="5"/>
    <x v="8"/>
    <x v="69"/>
    <x v="204"/>
    <n v="428.4"/>
    <n v="433.29999999999995"/>
    <n v="431.2"/>
    <n v="268.3"/>
    <n v="269.3"/>
  </r>
  <r>
    <s v="Rural"/>
    <x v="5"/>
    <x v="9"/>
    <x v="70"/>
    <x v="205"/>
    <n v="439.5"/>
    <n v="445"/>
    <n v="442.1"/>
    <n v="280.5"/>
    <n v="279.20000000000005"/>
  </r>
  <r>
    <s v="Urban"/>
    <x v="5"/>
    <x v="9"/>
    <x v="70"/>
    <x v="206"/>
    <n v="427.2"/>
    <n v="411"/>
    <n v="426.9"/>
    <n v="256.7"/>
    <n v="266.60000000000002"/>
  </r>
  <r>
    <s v="Rural+Urban"/>
    <x v="5"/>
    <x v="9"/>
    <x v="70"/>
    <x v="207"/>
    <n v="435.40000000000003"/>
    <n v="434"/>
    <n v="436.90000000000003"/>
    <n v="270.8"/>
    <n v="274.10000000000002"/>
  </r>
  <r>
    <s v="Rural"/>
    <x v="5"/>
    <x v="11"/>
    <x v="71"/>
    <x v="208"/>
    <n v="445.1"/>
    <n v="448"/>
    <n v="445.09999999999997"/>
    <n v="280.60000000000002"/>
    <n v="278.5"/>
  </r>
  <r>
    <s v="Urban"/>
    <x v="5"/>
    <x v="11"/>
    <x v="71"/>
    <x v="209"/>
    <n v="427.90000000000003"/>
    <n v="413.1"/>
    <n v="428.80000000000007"/>
    <n v="257.89999999999998"/>
    <n v="267.3"/>
  </r>
  <r>
    <s v="Rural+Urban"/>
    <x v="5"/>
    <x v="11"/>
    <x v="71"/>
    <x v="210"/>
    <n v="435.40000000000003"/>
    <n v="433.8"/>
    <n v="436.90000000000003"/>
    <n v="270.60000000000002"/>
    <n v="274.10000000000002"/>
  </r>
  <r>
    <s v="Rural"/>
    <x v="5"/>
    <x v="12"/>
    <x v="72"/>
    <x v="211"/>
    <n v="447.30000000000007"/>
    <n v="448.3"/>
    <n v="451.1"/>
    <n v="277.89999999999998"/>
    <n v="282.79999999999995"/>
  </r>
  <r>
    <s v="Urban"/>
    <x v="5"/>
    <x v="12"/>
    <x v="72"/>
    <x v="212"/>
    <n v="427.99999999999994"/>
    <n v="413.8"/>
    <n v="429.2"/>
    <n v="251.2"/>
    <n v="268.10000000000002"/>
  </r>
  <r>
    <s v="Rural+Urban"/>
    <x v="5"/>
    <x v="12"/>
    <x v="72"/>
    <x v="213"/>
    <n v="436.6"/>
    <n v="434.3"/>
    <n v="439.79999999999995"/>
    <n v="266.29999999999995"/>
    <n v="277.10000000000002"/>
  </r>
  <r>
    <s v="Rural"/>
    <x v="6"/>
    <x v="0"/>
    <x v="73"/>
    <x v="214"/>
    <n v="447.3"/>
    <n v="445.6"/>
    <n v="452.99999999999994"/>
    <n v="274.79999999999995"/>
    <n v="283.10000000000002"/>
  </r>
  <r>
    <s v="Urban"/>
    <x v="6"/>
    <x v="0"/>
    <x v="73"/>
    <x v="215"/>
    <n v="428.40000000000003"/>
    <n v="414.5"/>
    <n v="430.6"/>
    <n v="247.2"/>
    <n v="269.5"/>
  </r>
  <r>
    <s v="Rural+Urban"/>
    <x v="6"/>
    <x v="0"/>
    <x v="73"/>
    <x v="216"/>
    <n v="436.79999999999995"/>
    <n v="433"/>
    <n v="441.49999999999994"/>
    <n v="262.8"/>
    <n v="277.89999999999998"/>
  </r>
  <r>
    <s v="Rural"/>
    <x v="6"/>
    <x v="1"/>
    <x v="74"/>
    <x v="217"/>
    <n v="448.40000000000003"/>
    <n v="446.5"/>
    <n v="454.1"/>
    <n v="274.5"/>
    <n v="284.8"/>
  </r>
  <r>
    <s v="Urban"/>
    <x v="6"/>
    <x v="1"/>
    <x v="74"/>
    <x v="218"/>
    <n v="429.5"/>
    <n v="415.5"/>
    <n v="431.70000000000005"/>
    <n v="246.3"/>
    <n v="271.5"/>
  </r>
  <r>
    <s v="Rural+Urban"/>
    <x v="6"/>
    <x v="1"/>
    <x v="74"/>
    <x v="219"/>
    <n v="437.9"/>
    <n v="433.9"/>
    <n v="442.5"/>
    <n v="262.3"/>
    <n v="279.7"/>
  </r>
  <r>
    <s v="Rural"/>
    <x v="6"/>
    <x v="2"/>
    <x v="75"/>
    <x v="220"/>
    <n v="449.1"/>
    <n v="447"/>
    <n v="454.5"/>
    <n v="276.3"/>
    <n v="284.39999999999998"/>
  </r>
  <r>
    <s v="Urban"/>
    <x v="6"/>
    <x v="2"/>
    <x v="75"/>
    <x v="221"/>
    <n v="431.1"/>
    <n v="416.29999999999995"/>
    <n v="432.5"/>
    <n v="248.70000000000002"/>
    <n v="271.7"/>
  </r>
  <r>
    <s v="Rural+Urban"/>
    <x v="6"/>
    <x v="2"/>
    <x v="75"/>
    <x v="222"/>
    <n v="438.9"/>
    <n v="434.5"/>
    <n v="443.1"/>
    <n v="264.29999999999995"/>
    <n v="279.60000000000002"/>
  </r>
  <r>
    <s v="Rural"/>
    <x v="6"/>
    <x v="4"/>
    <x v="76"/>
    <x v="223"/>
    <n v="452.1"/>
    <n v="448.59999999999997"/>
    <n v="456.3"/>
    <n v="277.10000000000002"/>
    <n v="285.20000000000005"/>
  </r>
  <r>
    <s v="Urban"/>
    <x v="6"/>
    <x v="4"/>
    <x v="76"/>
    <x v="126"/>
    <n v="433.5"/>
    <n v="417.9"/>
    <n v="435.29999999999995"/>
    <n v="249.5"/>
    <n v="272.39999999999998"/>
  </r>
  <r>
    <s v="Rural+Urban"/>
    <x v="6"/>
    <x v="4"/>
    <x v="76"/>
    <x v="224"/>
    <n v="441.49999999999994"/>
    <n v="436.1"/>
    <n v="445.4"/>
    <n v="265.20000000000005"/>
    <n v="280.3"/>
  </r>
  <r>
    <s v="Rural"/>
    <x v="6"/>
    <x v="5"/>
    <x v="77"/>
    <x v="225"/>
    <n v="453.90000000000003"/>
    <n v="448.59999999999997"/>
    <n v="456.7"/>
    <n v="278"/>
    <n v="286.5"/>
  </r>
  <r>
    <s v="Urban"/>
    <x v="6"/>
    <x v="5"/>
    <x v="77"/>
    <x v="226"/>
    <n v="434.6"/>
    <n v="418.4"/>
    <n v="435.70000000000005"/>
    <n v="250.1"/>
    <n v="274"/>
  </r>
  <r>
    <s v="Rural+Urban"/>
    <x v="6"/>
    <x v="5"/>
    <x v="77"/>
    <x v="227"/>
    <n v="443.1"/>
    <n v="436.4"/>
    <n v="445.70000000000005"/>
    <n v="265.79999999999995"/>
    <n v="281.70000000000005"/>
  </r>
  <r>
    <s v="Rural"/>
    <x v="6"/>
    <x v="6"/>
    <x v="78"/>
    <x v="228"/>
    <n v="456.2"/>
    <n v="449.1"/>
    <n v="459.70000000000005"/>
    <n v="278"/>
    <n v="288.29999999999995"/>
  </r>
  <r>
    <s v="Urban"/>
    <x v="6"/>
    <x v="6"/>
    <x v="78"/>
    <x v="229"/>
    <n v="436.7"/>
    <n v="419.3"/>
    <n v="438.69999999999993"/>
    <n v="247.6"/>
    <n v="275.89999999999998"/>
  </r>
  <r>
    <s v="Rural+Urban"/>
    <x v="6"/>
    <x v="6"/>
    <x v="78"/>
    <x v="230"/>
    <n v="445.2"/>
    <n v="437"/>
    <n v="448.79999999999995"/>
    <n v="264.89999999999998"/>
    <n v="283.60000000000002"/>
  </r>
  <r>
    <s v="Rural"/>
    <x v="6"/>
    <x v="7"/>
    <x v="79"/>
    <x v="231"/>
    <n v="458"/>
    <n v="449.5"/>
    <n v="461.49999999999994"/>
    <n v="277.8"/>
    <n v="291.5"/>
  </r>
  <r>
    <s v="Urban"/>
    <x v="6"/>
    <x v="7"/>
    <x v="79"/>
    <x v="232"/>
    <n v="438.6"/>
    <n v="420.2"/>
    <n v="441.2"/>
    <n v="246.3"/>
    <n v="279.3"/>
  </r>
  <r>
    <s v="Rural+Urban"/>
    <x v="6"/>
    <x v="7"/>
    <x v="79"/>
    <x v="233"/>
    <n v="446.90000000000003"/>
    <n v="437.6"/>
    <n v="451"/>
    <n v="264.3"/>
    <n v="286.89999999999998"/>
  </r>
  <r>
    <s v="Rural"/>
    <x v="6"/>
    <x v="8"/>
    <x v="80"/>
    <x v="234"/>
    <n v="459.4"/>
    <n v="449.29999999999995"/>
    <n v="462.7"/>
    <n v="278.5"/>
    <n v="293.60000000000002"/>
  </r>
  <r>
    <s v="Urban"/>
    <x v="6"/>
    <x v="8"/>
    <x v="80"/>
    <x v="235"/>
    <n v="440.2"/>
    <n v="420.8"/>
    <n v="442.1"/>
    <n v="247.8"/>
    <n v="280.89999999999998"/>
  </r>
  <r>
    <s v="Rural+Urban"/>
    <x v="6"/>
    <x v="8"/>
    <x v="80"/>
    <x v="236"/>
    <n v="448.5"/>
    <n v="437.69999999999993"/>
    <n v="451.99999999999994"/>
    <n v="265.29999999999995"/>
    <n v="288.7"/>
  </r>
  <r>
    <s v="Rural"/>
    <x v="6"/>
    <x v="9"/>
    <x v="81"/>
    <x v="237"/>
    <n v="460.7"/>
    <n v="449.4"/>
    <n v="464.3"/>
    <n v="279.39999999999998"/>
    <n v="294"/>
  </r>
  <r>
    <s v="Urban"/>
    <x v="6"/>
    <x v="9"/>
    <x v="81"/>
    <x v="238"/>
    <n v="441.5"/>
    <n v="422.20000000000005"/>
    <n v="443.4"/>
    <n v="250.4"/>
    <n v="281.89999999999998"/>
  </r>
  <r>
    <s v="Rural+Urban"/>
    <x v="6"/>
    <x v="9"/>
    <x v="81"/>
    <x v="239"/>
    <n v="449.79999999999995"/>
    <n v="438.40000000000003"/>
    <n v="453.4"/>
    <n v="266.89999999999998"/>
    <n v="289.39999999999998"/>
  </r>
  <r>
    <s v="Rural"/>
    <x v="6"/>
    <x v="11"/>
    <x v="82"/>
    <x v="240"/>
    <n v="462.4"/>
    <n v="450.8"/>
    <n v="465.2"/>
    <n v="280.5"/>
    <n v="294.89999999999998"/>
  </r>
  <r>
    <s v="Urban"/>
    <x v="6"/>
    <x v="11"/>
    <x v="82"/>
    <x v="241"/>
    <n v="442.90000000000003"/>
    <n v="423.09999999999997"/>
    <n v="444.40000000000003"/>
    <n v="253.89999999999998"/>
    <n v="282.60000000000002"/>
  </r>
  <r>
    <s v="Rural+Urban"/>
    <x v="6"/>
    <x v="11"/>
    <x v="82"/>
    <x v="242"/>
    <n v="451.3"/>
    <n v="439.5"/>
    <n v="454.3"/>
    <n v="268.89999999999998"/>
    <n v="290.20000000000005"/>
  </r>
  <r>
    <s v="Rural"/>
    <x v="6"/>
    <x v="12"/>
    <x v="83"/>
    <x v="243"/>
    <n v="464.4"/>
    <n v="451.79999999999995"/>
    <n v="465.1"/>
    <n v="284.89999999999998"/>
    <n v="295.39999999999998"/>
  </r>
  <r>
    <s v="Urban"/>
    <x v="6"/>
    <x v="12"/>
    <x v="83"/>
    <x v="244"/>
    <n v="444.90000000000003"/>
    <n v="424.20000000000005"/>
    <n v="444.5"/>
    <n v="258.8"/>
    <n v="283.39999999999998"/>
  </r>
  <r>
    <s v="Rural+Urban"/>
    <x v="6"/>
    <x v="12"/>
    <x v="83"/>
    <x v="245"/>
    <n v="453.3"/>
    <n v="440.6"/>
    <n v="454.3"/>
    <n v="273.5"/>
    <n v="290.8"/>
  </r>
  <r>
    <s v="Rural"/>
    <x v="7"/>
    <x v="0"/>
    <x v="84"/>
    <x v="246"/>
    <n v="466.79999999999995"/>
    <n v="452.30000000000007"/>
    <n v="467.3"/>
    <n v="286.70000000000005"/>
    <n v="298.2"/>
  </r>
  <r>
    <s v="Urban"/>
    <x v="7"/>
    <x v="0"/>
    <x v="84"/>
    <x v="247"/>
    <n v="446.4"/>
    <n v="425.1"/>
    <n v="446.1"/>
    <n v="261.2"/>
    <n v="285.89999999999998"/>
  </r>
  <r>
    <s v="Rural+Urban"/>
    <x v="7"/>
    <x v="0"/>
    <x v="84"/>
    <x v="248"/>
    <n v="455.4"/>
    <n v="441.2"/>
    <n v="456.20000000000005"/>
    <n v="275.5"/>
    <n v="293.5"/>
  </r>
  <r>
    <s v="Rural"/>
    <x v="7"/>
    <x v="1"/>
    <x v="85"/>
    <x v="249"/>
    <n v="468.20000000000005"/>
    <n v="452.8"/>
    <n v="468.5"/>
    <n v="288.3"/>
    <n v="299.60000000000002"/>
  </r>
  <r>
    <s v="Urban"/>
    <x v="7"/>
    <x v="1"/>
    <x v="85"/>
    <x v="250"/>
    <n v="448.1"/>
    <n v="426"/>
    <n v="447.40000000000003"/>
    <n v="264.10000000000002"/>
    <n v="287.89999999999998"/>
  </r>
  <r>
    <s v="Rural+Urban"/>
    <x v="7"/>
    <x v="1"/>
    <x v="85"/>
    <x v="251"/>
    <n v="456.9"/>
    <n v="442"/>
    <n v="457.40000000000003"/>
    <n v="277.5"/>
    <n v="295.10000000000002"/>
  </r>
  <r>
    <s v="Rural"/>
    <x v="7"/>
    <x v="2"/>
    <x v="86"/>
    <x v="252"/>
    <n v="470.29999999999995"/>
    <n v="453.5"/>
    <n v="467.2"/>
    <n v="289.20000000000005"/>
    <n v="301.79999999999995"/>
  </r>
  <r>
    <s v="Urban"/>
    <x v="7"/>
    <x v="2"/>
    <x v="86"/>
    <x v="253"/>
    <n v="449.90000000000003"/>
    <n v="427.1"/>
    <n v="447.8"/>
    <n v="266"/>
    <n v="290.3"/>
  </r>
  <r>
    <s v="Rural+Urban"/>
    <x v="7"/>
    <x v="2"/>
    <x v="86"/>
    <x v="254"/>
    <n v="458.7"/>
    <n v="442.90000000000003"/>
    <n v="457"/>
    <n v="278.8"/>
    <n v="297.5"/>
  </r>
  <r>
    <s v="Rural"/>
    <x v="7"/>
    <x v="3"/>
    <x v="87"/>
    <x v="255"/>
    <n v="478.79999999999995"/>
    <n v="456.15000000000003"/>
    <n v="468.7"/>
    <n v="287"/>
    <n v="302.45"/>
  </r>
  <r>
    <s v="Urban"/>
    <x v="7"/>
    <x v="3"/>
    <x v="87"/>
    <x v="256"/>
    <n v="461.54999999999995"/>
    <n v="429.99999999999994"/>
    <n v="448.70000000000005"/>
    <n v="264.05"/>
    <n v="293.55"/>
  </r>
  <r>
    <s v="Rural+Urban"/>
    <x v="7"/>
    <x v="3"/>
    <x v="87"/>
    <x v="257"/>
    <n v="468.75"/>
    <n v="445.6"/>
    <n v="458.25"/>
    <n v="276.54999999999995"/>
    <n v="299.09999999999997"/>
  </r>
  <r>
    <s v="Rural"/>
    <x v="7"/>
    <x v="4"/>
    <x v="88"/>
    <x v="258"/>
    <n v="483.04999999999995"/>
    <n v="457.47499999999997"/>
    <n v="468.44999999999993"/>
    <n v="286.64999999999998"/>
    <n v="305.92499999999995"/>
  </r>
  <r>
    <s v="Urban"/>
    <x v="7"/>
    <x v="4"/>
    <x v="88"/>
    <x v="259"/>
    <n v="467.375"/>
    <n v="431.44999999999993"/>
    <n v="448.15"/>
    <n v="265.22500000000002"/>
    <n v="296.92499999999995"/>
  </r>
  <r>
    <s v="Rural+Urban"/>
    <x v="7"/>
    <x v="4"/>
    <x v="88"/>
    <x v="260"/>
    <n v="473.77500000000003"/>
    <n v="446.95000000000005"/>
    <n v="457.87499999999994"/>
    <n v="276.72500000000002"/>
    <n v="302.55"/>
  </r>
  <r>
    <s v="Rural"/>
    <x v="7"/>
    <x v="5"/>
    <x v="89"/>
    <x v="261"/>
    <n v="487.3"/>
    <n v="458.79999999999995"/>
    <n v="468.2"/>
    <n v="286.3"/>
    <n v="309.39999999999998"/>
  </r>
  <r>
    <s v="Urban"/>
    <x v="7"/>
    <x v="5"/>
    <x v="89"/>
    <x v="262"/>
    <n v="473.2"/>
    <n v="432.9"/>
    <n v="447.6"/>
    <n v="266.39999999999998"/>
    <n v="300.29999999999995"/>
  </r>
  <r>
    <s v="Rural+Urban"/>
    <x v="7"/>
    <x v="5"/>
    <x v="89"/>
    <x v="263"/>
    <n v="478.8"/>
    <n v="448.29999999999995"/>
    <n v="457.5"/>
    <n v="276.89999999999998"/>
    <n v="306"/>
  </r>
  <r>
    <s v="Rural"/>
    <x v="7"/>
    <x v="6"/>
    <x v="90"/>
    <x v="261"/>
    <n v="487.3"/>
    <n v="458.79999999999995"/>
    <n v="468.2"/>
    <n v="286.3"/>
    <n v="309.39999999999998"/>
  </r>
  <r>
    <s v="Urban"/>
    <x v="7"/>
    <x v="6"/>
    <x v="90"/>
    <x v="262"/>
    <n v="473.2"/>
    <n v="432.9"/>
    <n v="447.6"/>
    <n v="266.39999999999998"/>
    <n v="300.29999999999995"/>
  </r>
  <r>
    <s v="Rural+Urban"/>
    <x v="7"/>
    <x v="6"/>
    <x v="90"/>
    <x v="263"/>
    <n v="478.8"/>
    <n v="448.29999999999995"/>
    <n v="457.5"/>
    <n v="276.89999999999998"/>
    <n v="306"/>
  </r>
  <r>
    <s v="Rural"/>
    <x v="7"/>
    <x v="7"/>
    <x v="91"/>
    <x v="264"/>
    <n v="486.1"/>
    <n v="458.7"/>
    <n v="470.09999999999997"/>
    <n v="289.39999999999998"/>
    <n v="312.39999999999998"/>
  </r>
  <r>
    <s v="Urban"/>
    <x v="7"/>
    <x v="7"/>
    <x v="91"/>
    <x v="265"/>
    <n v="473.2"/>
    <n v="433"/>
    <n v="455.5"/>
    <n v="272.20000000000005"/>
    <n v="303.89999999999998"/>
  </r>
  <r>
    <s v="Rural+Urban"/>
    <x v="7"/>
    <x v="7"/>
    <x v="91"/>
    <x v="266"/>
    <n v="477.6"/>
    <n v="448.2"/>
    <n v="462.4"/>
    <n v="281.5"/>
    <n v="309.3"/>
  </r>
  <r>
    <s v="Rural"/>
    <x v="7"/>
    <x v="8"/>
    <x v="92"/>
    <x v="267"/>
    <n v="489.40000000000003"/>
    <n v="459.9"/>
    <n v="469"/>
    <n v="291"/>
    <n v="316.5"/>
  </r>
  <r>
    <s v="Urban"/>
    <x v="7"/>
    <x v="8"/>
    <x v="92"/>
    <x v="268"/>
    <n v="476.5"/>
    <n v="434.6"/>
    <n v="456.6"/>
    <n v="272.29999999999995"/>
    <n v="309.8"/>
  </r>
  <r>
    <s v="Rural+Urban"/>
    <x v="7"/>
    <x v="8"/>
    <x v="92"/>
    <x v="269"/>
    <n v="481"/>
    <n v="449.70000000000005"/>
    <n v="462.5"/>
    <n v="282.5"/>
    <n v="314"/>
  </r>
  <r>
    <s v="Rural"/>
    <x v="7"/>
    <x v="9"/>
    <x v="93"/>
    <x v="270"/>
    <n v="489.40000000000003"/>
    <n v="461.29999999999995"/>
    <n v="471"/>
    <n v="293.20000000000005"/>
    <n v="315.7"/>
  </r>
  <r>
    <s v="Urban"/>
    <x v="7"/>
    <x v="9"/>
    <x v="93"/>
    <x v="271"/>
    <n v="476.9"/>
    <n v="434.90000000000003"/>
    <n v="457.3"/>
    <n v="272.5"/>
    <n v="309.10000000000002"/>
  </r>
  <r>
    <s v="Rural+Urban"/>
    <x v="7"/>
    <x v="9"/>
    <x v="93"/>
    <x v="272"/>
    <n v="481.20000000000005"/>
    <n v="450.59999999999997"/>
    <n v="463.7"/>
    <n v="283.7"/>
    <n v="313.3"/>
  </r>
  <r>
    <s v="Rural"/>
    <x v="7"/>
    <x v="11"/>
    <x v="94"/>
    <x v="273"/>
    <n v="491.5"/>
    <n v="462.8"/>
    <n v="472.4"/>
    <n v="293.60000000000002"/>
    <n v="316.60000000000002"/>
  </r>
  <r>
    <s v="Urban"/>
    <x v="7"/>
    <x v="11"/>
    <x v="94"/>
    <x v="274"/>
    <n v="479.80000000000007"/>
    <n v="436.3"/>
    <n v="459.5"/>
    <n v="272.5"/>
    <n v="309.89999999999998"/>
  </r>
  <r>
    <s v="Rural+Urban"/>
    <x v="7"/>
    <x v="11"/>
    <x v="94"/>
    <x v="275"/>
    <n v="483.90000000000003"/>
    <n v="452.00000000000006"/>
    <n v="465.79999999999995"/>
    <n v="284"/>
    <n v="314.10000000000002"/>
  </r>
  <r>
    <s v="Rural"/>
    <x v="7"/>
    <x v="12"/>
    <x v="95"/>
    <x v="276"/>
    <n v="492.7"/>
    <n v="464.90000000000003"/>
    <n v="474.70000000000005"/>
    <n v="295.10000000000002"/>
    <n v="318.2"/>
  </r>
  <r>
    <s v="Urban"/>
    <x v="7"/>
    <x v="12"/>
    <x v="95"/>
    <x v="277"/>
    <n v="481.4"/>
    <n v="438.20000000000005"/>
    <n v="460.79999999999995"/>
    <n v="273.39999999999998"/>
    <n v="310.8"/>
  </r>
  <r>
    <s v="Rural+Urban"/>
    <x v="7"/>
    <x v="12"/>
    <x v="95"/>
    <x v="278"/>
    <n v="485.09999999999997"/>
    <n v="454"/>
    <n v="467.5"/>
    <n v="285.29999999999995"/>
    <n v="315.39999999999998"/>
  </r>
  <r>
    <s v="Rural"/>
    <x v="8"/>
    <x v="0"/>
    <x v="96"/>
    <x v="279"/>
    <n v="495.6"/>
    <n v="466.7"/>
    <n v="475.1"/>
    <n v="298.39999999999998"/>
    <n v="318.7"/>
  </r>
  <r>
    <s v="Urban"/>
    <x v="8"/>
    <x v="0"/>
    <x v="96"/>
    <x v="280"/>
    <n v="484.80000000000007"/>
    <n v="440"/>
    <n v="459.5"/>
    <n v="279.8"/>
    <n v="311.79999999999995"/>
  </r>
  <r>
    <s v="Rural+Urban"/>
    <x v="8"/>
    <x v="0"/>
    <x v="96"/>
    <x v="281"/>
    <n v="488"/>
    <n v="455.8"/>
    <n v="466.9"/>
    <n v="289.8"/>
    <n v="316.10000000000002"/>
  </r>
  <r>
    <s v="Rural"/>
    <x v="8"/>
    <x v="1"/>
    <x v="97"/>
    <x v="282"/>
    <n v="500.7"/>
    <n v="471.4"/>
    <n v="478.20000000000005"/>
    <n v="304.60000000000002"/>
    <n v="319.5"/>
  </r>
  <r>
    <s v="Urban"/>
    <x v="8"/>
    <x v="1"/>
    <x v="97"/>
    <x v="283"/>
    <n v="489.90000000000003"/>
    <n v="444.2"/>
    <n v="462.9"/>
    <n v="289.60000000000002"/>
    <n v="313"/>
  </r>
  <r>
    <s v="Rural+Urban"/>
    <x v="8"/>
    <x v="1"/>
    <x v="97"/>
    <x v="284"/>
    <n v="493.20000000000005"/>
    <n v="460.40000000000003"/>
    <n v="470.20000000000005"/>
    <n v="297.5"/>
    <n v="317.10000000000002"/>
  </r>
  <r>
    <s v="Rural"/>
    <x v="8"/>
    <x v="2"/>
    <x v="98"/>
    <x v="285"/>
    <n v="501.2"/>
    <n v="472.9"/>
    <n v="478.50000000000006"/>
    <n v="307.3"/>
    <n v="317.7"/>
  </r>
  <r>
    <s v="Urban"/>
    <x v="8"/>
    <x v="2"/>
    <x v="98"/>
    <x v="286"/>
    <n v="492.1"/>
    <n v="446.4"/>
    <n v="464.70000000000005"/>
    <n v="296.5"/>
    <n v="311.8"/>
  </r>
  <r>
    <s v="Rural+Urban"/>
    <x v="8"/>
    <x v="2"/>
    <x v="98"/>
    <x v="287"/>
    <n v="494.5"/>
    <n v="462.1"/>
    <n v="471.3"/>
    <n v="301.7"/>
    <n v="315.5"/>
  </r>
  <r>
    <s v="Rural"/>
    <x v="8"/>
    <x v="3"/>
    <x v="99"/>
    <x v="288"/>
    <n v="503.4"/>
    <n v="475.69999999999993"/>
    <n v="481"/>
    <n v="307.7"/>
    <n v="319.89999999999998"/>
  </r>
  <r>
    <s v="Urban"/>
    <x v="8"/>
    <x v="3"/>
    <x v="99"/>
    <x v="289"/>
    <n v="494"/>
    <n v="448.6"/>
    <n v="466.6"/>
    <n v="297"/>
    <n v="314.10000000000002"/>
  </r>
  <r>
    <s v="Rural+Urban"/>
    <x v="8"/>
    <x v="3"/>
    <x v="99"/>
    <x v="290"/>
    <n v="496.4"/>
    <n v="464.6"/>
    <n v="473.50000000000006"/>
    <n v="302.2"/>
    <n v="317.70000000000005"/>
  </r>
  <r>
    <s v="Rural"/>
    <x v="8"/>
    <x v="4"/>
    <x v="100"/>
    <x v="291"/>
    <n v="510.70000000000005"/>
    <n v="490.4"/>
    <n v="488"/>
    <n v="314.89999999999998"/>
    <n v="328.4"/>
  </r>
  <r>
    <s v="Urban"/>
    <x v="8"/>
    <x v="4"/>
    <x v="100"/>
    <x v="292"/>
    <n v="503.09999999999997"/>
    <n v="450.79999999999995"/>
    <n v="468.29999999999995"/>
    <n v="300.5"/>
    <n v="317.89999999999998"/>
  </r>
  <r>
    <s v="Rural+Urban"/>
    <x v="8"/>
    <x v="4"/>
    <x v="100"/>
    <x v="293"/>
    <n v="504.50000000000006"/>
    <n v="474.29999999999995"/>
    <n v="477.49999999999994"/>
    <n v="308.3"/>
    <n v="324.39999999999998"/>
  </r>
  <r>
    <s v="Rural"/>
    <x v="8"/>
    <x v="5"/>
    <x v="101"/>
    <x v="294"/>
    <n v="511"/>
    <n v="489.80000000000007"/>
    <n v="486.5"/>
    <n v="316.29999999999995"/>
    <n v="329.1"/>
  </r>
  <r>
    <s v="Urban"/>
    <x v="8"/>
    <x v="5"/>
    <x v="101"/>
    <x v="295"/>
    <n v="499.69999999999993"/>
    <n v="452.6"/>
    <n v="468.4"/>
    <n v="303.60000000000002"/>
    <n v="318.8"/>
  </r>
  <r>
    <s v="Rural+Urban"/>
    <x v="8"/>
    <x v="5"/>
    <x v="101"/>
    <x v="296"/>
    <n v="503.30000000000007"/>
    <n v="474.7"/>
    <n v="477"/>
    <n v="310.5"/>
    <n v="325.10000000000002"/>
  </r>
  <r>
    <s v="Rural"/>
    <x v="8"/>
    <x v="6"/>
    <x v="102"/>
    <x v="297"/>
    <n v="513.20000000000005"/>
    <n v="492.40000000000003"/>
    <n v="489"/>
    <n v="319.60000000000002"/>
    <n v="330.8"/>
  </r>
  <r>
    <s v="Urban"/>
    <x v="8"/>
    <x v="6"/>
    <x v="102"/>
    <x v="298"/>
    <n v="501.7"/>
    <n v="455.3"/>
    <n v="472.5"/>
    <n v="307.2"/>
    <n v="321.10000000000002"/>
  </r>
  <r>
    <s v="Rural+Urban"/>
    <x v="8"/>
    <x v="6"/>
    <x v="102"/>
    <x v="299"/>
    <n v="505.5"/>
    <n v="477.29999999999995"/>
    <n v="480.5"/>
    <n v="313.79999999999995"/>
    <n v="327.10000000000002"/>
  </r>
  <r>
    <s v="Rural"/>
    <x v="8"/>
    <x v="7"/>
    <x v="103"/>
    <x v="300"/>
    <n v="514.59999999999991"/>
    <n v="495.90000000000003"/>
    <n v="490.5"/>
    <n v="320.79999999999995"/>
    <n v="331.4"/>
  </r>
  <r>
    <s v="Urban"/>
    <x v="8"/>
    <x v="7"/>
    <x v="103"/>
    <x v="301"/>
    <n v="506.2"/>
    <n v="460.7"/>
    <n v="475.69999999999993"/>
    <n v="311.10000000000002"/>
    <n v="322.39999999999998"/>
  </r>
  <r>
    <s v="Rural+Urban"/>
    <x v="8"/>
    <x v="7"/>
    <x v="103"/>
    <x v="302"/>
    <n v="509.7"/>
    <n v="483"/>
    <n v="483.40000000000003"/>
    <n v="316.60000000000002"/>
    <n v="328.4"/>
  </r>
  <r>
    <s v="Rural"/>
    <x v="8"/>
    <x v="8"/>
    <x v="104"/>
    <x v="303"/>
    <n v="517"/>
    <n v="498.4"/>
    <n v="491.9"/>
    <n v="321.5"/>
    <n v="332.1"/>
  </r>
  <r>
    <s v="Urban"/>
    <x v="8"/>
    <x v="8"/>
    <x v="104"/>
    <x v="301"/>
    <n v="506.4"/>
    <n v="460.79999999999995"/>
    <n v="475.7"/>
    <n v="311.3"/>
    <n v="322.39999999999998"/>
  </r>
  <r>
    <s v="Rural+Urban"/>
    <x v="8"/>
    <x v="8"/>
    <x v="104"/>
    <x v="302"/>
    <n v="509.79999999999995"/>
    <n v="483.2"/>
    <n v="483.3"/>
    <n v="316.60000000000002"/>
    <n v="328.4"/>
  </r>
  <r>
    <s v="Rural"/>
    <x v="8"/>
    <x v="9"/>
    <x v="105"/>
    <x v="304"/>
    <n v="519.09999999999991"/>
    <n v="502.00000000000006"/>
    <n v="494.6"/>
    <n v="325"/>
    <n v="333.6"/>
  </r>
  <r>
    <s v="Urban"/>
    <x v="8"/>
    <x v="9"/>
    <x v="105"/>
    <x v="305"/>
    <n v="509.1"/>
    <n v="463.50000000000006"/>
    <n v="478.2"/>
    <n v="314.39999999999998"/>
    <n v="323.8"/>
  </r>
  <r>
    <s v="Rural+Urban"/>
    <x v="8"/>
    <x v="9"/>
    <x v="105"/>
    <x v="306"/>
    <n v="512.29999999999995"/>
    <n v="486.3"/>
    <n v="485.9"/>
    <n v="319.89999999999998"/>
    <n v="329.9"/>
  </r>
  <r>
    <s v="Rural"/>
    <x v="8"/>
    <x v="11"/>
    <x v="106"/>
    <x v="307"/>
    <n v="520.40000000000009"/>
    <n v="506.2"/>
    <n v="496.40000000000003"/>
    <n v="324.20000000000005"/>
    <n v="335.8"/>
  </r>
  <r>
    <s v="Urban"/>
    <x v="8"/>
    <x v="11"/>
    <x v="106"/>
    <x v="308"/>
    <n v="511"/>
    <n v="467.3"/>
    <n v="480.2"/>
    <n v="312.79999999999995"/>
    <n v="326"/>
  </r>
  <r>
    <s v="Rural+Urban"/>
    <x v="8"/>
    <x v="11"/>
    <x v="106"/>
    <x v="309"/>
    <n v="514.1"/>
    <n v="490.40000000000003"/>
    <n v="487.8"/>
    <n v="318.70000000000005"/>
    <n v="332.1"/>
  </r>
  <r>
    <s v="Rural"/>
    <x v="8"/>
    <x v="12"/>
    <x v="107"/>
    <x v="310"/>
    <n v="521.29999999999995"/>
    <n v="510.3"/>
    <n v="497"/>
    <n v="325.7"/>
    <n v="336.8"/>
  </r>
  <r>
    <s v="Urban"/>
    <x v="8"/>
    <x v="12"/>
    <x v="107"/>
    <x v="311"/>
    <n v="512.20000000000005"/>
    <n v="470.7"/>
    <n v="480"/>
    <n v="313.5"/>
    <n v="327.5"/>
  </r>
  <r>
    <s v="Rural+Urban"/>
    <x v="8"/>
    <x v="12"/>
    <x v="107"/>
    <x v="312"/>
    <n v="515"/>
    <n v="494.2"/>
    <n v="488"/>
    <n v="319.79999999999995"/>
    <n v="333.2"/>
  </r>
  <r>
    <s v="Rural"/>
    <x v="9"/>
    <x v="0"/>
    <x v="108"/>
    <x v="313"/>
    <n v="522.20000000000005"/>
    <n v="515.20000000000005"/>
    <n v="499.29999999999995"/>
    <n v="326.60000000000002"/>
    <n v="337.9"/>
  </r>
  <r>
    <s v="Urban"/>
    <x v="9"/>
    <x v="0"/>
    <x v="108"/>
    <x v="314"/>
    <n v="513.4"/>
    <n v="475.4"/>
    <n v="482.3"/>
    <n v="314.29999999999995"/>
    <n v="328.9"/>
  </r>
  <r>
    <s v="Rural+Urban"/>
    <x v="9"/>
    <x v="0"/>
    <x v="108"/>
    <x v="304"/>
    <n v="516.09999999999991"/>
    <n v="499.1"/>
    <n v="490.3"/>
    <n v="320.7"/>
    <n v="334.4"/>
  </r>
  <r>
    <s v="Rural"/>
    <x v="9"/>
    <x v="1"/>
    <x v="109"/>
    <x v="315"/>
    <n v="524.29999999999995"/>
    <n v="518.79999999999995"/>
    <n v="501.5"/>
    <n v="328.6"/>
    <n v="339.8"/>
  </r>
  <r>
    <s v="Urban"/>
    <x v="9"/>
    <x v="1"/>
    <x v="109"/>
    <x v="316"/>
    <n v="515.4"/>
    <n v="479.5"/>
    <n v="484.9"/>
    <n v="316.10000000000002"/>
    <n v="331.4"/>
  </r>
  <r>
    <s v="Rural+Urban"/>
    <x v="9"/>
    <x v="1"/>
    <x v="109"/>
    <x v="317"/>
    <n v="518.4"/>
    <n v="502.80000000000007"/>
    <n v="492.70000000000005"/>
    <n v="322.60000000000002"/>
    <n v="336.6"/>
  </r>
  <r>
    <s v="Rural"/>
    <x v="9"/>
    <x v="2"/>
    <x v="110"/>
    <x v="318"/>
    <n v="527.20000000000005"/>
    <n v="523.70000000000005"/>
    <n v="502.4"/>
    <n v="330.9"/>
    <n v="343.4"/>
  </r>
  <r>
    <s v="Urban"/>
    <x v="9"/>
    <x v="2"/>
    <x v="110"/>
    <x v="319"/>
    <n v="518.9"/>
    <n v="484.6"/>
    <n v="486.59999999999997"/>
    <n v="318.7"/>
    <n v="335"/>
  </r>
  <r>
    <s v="Rural+Urban"/>
    <x v="9"/>
    <x v="2"/>
    <x v="110"/>
    <x v="320"/>
    <n v="521.6"/>
    <n v="507.79999999999995"/>
    <n v="494.1"/>
    <n v="325.10000000000002"/>
    <n v="340.2"/>
  </r>
  <r>
    <s v="Rural"/>
    <x v="9"/>
    <x v="3"/>
    <x v="111"/>
    <x v="321"/>
    <n v="530.20000000000005"/>
    <n v="529.70000000000005"/>
    <n v="505.6"/>
    <n v="339.5"/>
    <n v="346"/>
  </r>
  <r>
    <s v="Urban"/>
    <x v="9"/>
    <x v="3"/>
    <x v="111"/>
    <x v="322"/>
    <n v="522.4"/>
    <n v="489.2"/>
    <n v="490.8"/>
    <n v="329.8"/>
    <n v="337.4"/>
  </r>
  <r>
    <s v="Rural+Urban"/>
    <x v="9"/>
    <x v="3"/>
    <x v="111"/>
    <x v="323"/>
    <n v="525.1"/>
    <n v="513.20000000000005"/>
    <n v="497.9"/>
    <n v="334.79999999999995"/>
    <n v="342.8"/>
  </r>
  <r>
    <s v="Rural"/>
    <x v="9"/>
    <x v="4"/>
    <x v="112"/>
    <x v="324"/>
    <n v="531.4"/>
    <n v="535.5"/>
    <n v="508.2"/>
    <n v="342.4"/>
    <n v="346.2"/>
  </r>
  <r>
    <s v="Urban"/>
    <x v="9"/>
    <x v="4"/>
    <x v="112"/>
    <x v="325"/>
    <n v="524.5"/>
    <n v="493.7"/>
    <n v="493.8"/>
    <n v="332.9"/>
    <n v="338.29999999999995"/>
  </r>
  <r>
    <s v="Rural+Urban"/>
    <x v="9"/>
    <x v="4"/>
    <x v="112"/>
    <x v="326"/>
    <n v="526.70000000000005"/>
    <n v="518.6"/>
    <n v="500.6"/>
    <n v="337.6"/>
    <n v="343.20000000000005"/>
  </r>
  <r>
    <s v="Rural"/>
    <x v="9"/>
    <x v="5"/>
    <x v="113"/>
    <x v="327"/>
    <n v="531.9"/>
    <n v="539.79999999999995"/>
    <n v="509.70000000000005"/>
    <n v="342.2"/>
    <n v="347.7"/>
  </r>
  <r>
    <s v="Urban"/>
    <x v="9"/>
    <x v="5"/>
    <x v="113"/>
    <x v="328"/>
    <n v="526.20000000000005"/>
    <n v="498.4"/>
    <n v="495.4"/>
    <n v="332.1"/>
    <n v="340.1"/>
  </r>
  <r>
    <s v="Rural+Urban"/>
    <x v="9"/>
    <x v="5"/>
    <x v="113"/>
    <x v="329"/>
    <n v="527.6"/>
    <n v="523"/>
    <n v="502.20000000000005"/>
    <n v="337.1"/>
    <n v="344.8"/>
  </r>
  <r>
    <s v="Rural"/>
    <x v="9"/>
    <x v="6"/>
    <x v="114"/>
    <x v="330"/>
    <n v="533.59999999999991"/>
    <n v="544"/>
    <n v="513.79999999999995"/>
    <n v="345.9"/>
    <n v="348.5"/>
  </r>
  <r>
    <s v="Urban"/>
    <x v="9"/>
    <x v="6"/>
    <x v="114"/>
    <x v="331"/>
    <n v="527.9"/>
    <n v="502"/>
    <n v="500"/>
    <n v="336.9"/>
    <n v="341.5"/>
  </r>
  <r>
    <s v="Rural+Urban"/>
    <x v="9"/>
    <x v="6"/>
    <x v="114"/>
    <x v="332"/>
    <n v="529.29999999999995"/>
    <n v="526.90000000000009"/>
    <n v="506.6"/>
    <n v="341.2"/>
    <n v="345.79999999999995"/>
  </r>
  <r>
    <s v="Rural"/>
    <x v="9"/>
    <x v="7"/>
    <x v="115"/>
    <x v="333"/>
    <n v="535.6"/>
    <n v="547.9"/>
    <n v="517"/>
    <n v="345.7"/>
    <n v="350.5"/>
  </r>
  <r>
    <s v="Urban"/>
    <x v="9"/>
    <x v="7"/>
    <x v="115"/>
    <x v="334"/>
    <n v="529.19999999999993"/>
    <n v="505.29999999999995"/>
    <n v="503.1"/>
    <n v="336.1"/>
    <n v="344"/>
  </r>
  <r>
    <s v="Rural+Urban"/>
    <x v="9"/>
    <x v="7"/>
    <x v="115"/>
    <x v="335"/>
    <n v="531"/>
    <n v="530.70000000000005"/>
    <n v="509.8"/>
    <n v="340.70000000000005"/>
    <n v="348"/>
  </r>
  <r>
    <s v="Rural"/>
    <x v="9"/>
    <x v="8"/>
    <x v="116"/>
    <x v="336"/>
    <n v="537.6"/>
    <n v="552.5"/>
    <n v="519.29999999999995"/>
    <n v="346.6"/>
    <n v="351"/>
  </r>
  <r>
    <s v="Urban"/>
    <x v="9"/>
    <x v="8"/>
    <x v="116"/>
    <x v="337"/>
    <n v="531.6"/>
    <n v="509.7"/>
    <n v="505.4"/>
    <n v="337.4"/>
    <n v="344.9"/>
  </r>
  <r>
    <s v="Rural+Urban"/>
    <x v="9"/>
    <x v="8"/>
    <x v="116"/>
    <x v="338"/>
    <n v="533.20000000000005"/>
    <n v="535.1"/>
    <n v="512.1"/>
    <n v="341.8"/>
    <n v="348.70000000000005"/>
  </r>
  <r>
    <s v="Rural"/>
    <x v="9"/>
    <x v="9"/>
    <x v="117"/>
    <x v="339"/>
    <n v="539.4"/>
    <n v="556.4"/>
    <n v="522.1"/>
    <n v="348.20000000000005"/>
    <n v="353.2"/>
  </r>
  <r>
    <s v="Urban"/>
    <x v="9"/>
    <x v="9"/>
    <x v="117"/>
    <x v="340"/>
    <n v="533.20000000000005"/>
    <n v="511.70000000000005"/>
    <n v="508.4"/>
    <n v="338.8"/>
    <n v="347"/>
  </r>
  <r>
    <s v="Rural+Urban"/>
    <x v="9"/>
    <x v="9"/>
    <x v="117"/>
    <x v="341"/>
    <n v="535"/>
    <n v="538.20000000000005"/>
    <n v="515"/>
    <n v="343.4"/>
    <n v="350.79999999999995"/>
  </r>
  <r>
    <s v="Rural"/>
    <x v="9"/>
    <x v="11"/>
    <x v="118"/>
    <x v="342"/>
    <n v="540.9"/>
    <n v="559.29999999999995"/>
    <n v="524.20000000000005"/>
    <n v="349.4"/>
    <n v="355.70000000000005"/>
  </r>
  <r>
    <s v="Urban"/>
    <x v="9"/>
    <x v="11"/>
    <x v="118"/>
    <x v="343"/>
    <n v="534.69999999999993"/>
    <n v="514.9"/>
    <n v="510.20000000000005"/>
    <n v="339.20000000000005"/>
    <n v="349.6"/>
  </r>
  <r>
    <s v="Rural+Urban"/>
    <x v="9"/>
    <x v="11"/>
    <x v="118"/>
    <x v="344"/>
    <n v="536.5"/>
    <n v="541.4"/>
    <n v="516.90000000000009"/>
    <n v="344.3"/>
    <n v="353.4"/>
  </r>
  <r>
    <s v="Rural"/>
    <x v="9"/>
    <x v="12"/>
    <x v="119"/>
    <x v="345"/>
    <n v="542.6"/>
    <n v="561.79999999999995"/>
    <n v="524.40000000000009"/>
    <n v="350.6"/>
    <n v="359.2"/>
  </r>
  <r>
    <s v="Urban"/>
    <x v="9"/>
    <x v="12"/>
    <x v="119"/>
    <x v="346"/>
    <n v="536.4"/>
    <n v="517.9"/>
    <n v="509.8"/>
    <n v="340"/>
    <n v="353.2"/>
  </r>
  <r>
    <s v="Rural+Urban"/>
    <x v="9"/>
    <x v="12"/>
    <x v="119"/>
    <x v="347"/>
    <n v="538.20000000000005"/>
    <n v="544"/>
    <n v="516.9"/>
    <n v="345.4"/>
    <n v="356.9"/>
  </r>
  <r>
    <s v="Rural"/>
    <x v="10"/>
    <x v="0"/>
    <x v="120"/>
    <x v="348"/>
    <n v="545.20000000000005"/>
    <n v="563.9"/>
    <n v="527.09999999999991"/>
    <n v="351.4"/>
    <n v="363.1"/>
  </r>
  <r>
    <s v="Urban"/>
    <x v="10"/>
    <x v="0"/>
    <x v="120"/>
    <x v="349"/>
    <n v="538.29999999999995"/>
    <n v="520.6"/>
    <n v="511.90000000000003"/>
    <n v="339.6"/>
    <n v="357.3"/>
  </r>
  <r>
    <s v="Rural+Urban"/>
    <x v="10"/>
    <x v="0"/>
    <x v="120"/>
    <x v="350"/>
    <n v="540.5"/>
    <n v="546.29999999999995"/>
    <n v="519.29999999999995"/>
    <n v="345.6"/>
    <n v="360.9"/>
  </r>
  <r>
    <s v="Rural"/>
    <x v="10"/>
    <x v="1"/>
    <x v="121"/>
    <x v="351"/>
    <n v="549"/>
    <n v="566.6"/>
    <n v="530.6"/>
    <n v="350.6"/>
    <n v="367.29999999999995"/>
  </r>
  <r>
    <s v="Urban"/>
    <x v="10"/>
    <x v="1"/>
    <x v="121"/>
    <x v="352"/>
    <n v="541.1"/>
    <n v="525.5"/>
    <n v="515.20000000000005"/>
    <n v="342.6"/>
    <n v="362.20000000000005"/>
  </r>
  <r>
    <s v="Rural+Urban"/>
    <x v="10"/>
    <x v="1"/>
    <x v="121"/>
    <x v="353"/>
    <n v="543.9"/>
    <n v="550"/>
    <n v="522.70000000000005"/>
    <n v="346.29999999999995"/>
    <n v="365.4"/>
  </r>
  <r>
    <s v="Rural"/>
    <x v="10"/>
    <x v="2"/>
    <x v="122"/>
    <x v="354"/>
    <n v="549.1"/>
    <n v="566.6"/>
    <n v="530.6"/>
    <n v="350.4"/>
    <n v="367.29999999999995"/>
  </r>
  <r>
    <s v="Urban"/>
    <x v="10"/>
    <x v="2"/>
    <x v="122"/>
    <x v="355"/>
    <n v="541.1"/>
    <n v="525.4"/>
    <n v="515.20000000000005"/>
    <n v="342.4"/>
    <n v="362.3"/>
  </r>
  <r>
    <s v="Rural+Urban"/>
    <x v="10"/>
    <x v="2"/>
    <x v="122"/>
    <x v="356"/>
    <n v="543.9"/>
    <n v="549.9"/>
    <n v="522.70000000000005"/>
    <n v="346.1"/>
    <n v="365.4"/>
  </r>
  <r>
    <s v="Rural"/>
    <x v="10"/>
    <x v="3"/>
    <x v="123"/>
    <x v="357"/>
    <n v="551.6"/>
    <n v="568.20000000000005"/>
    <n v="533.69999999999993"/>
    <n v="350.9"/>
    <n v="371"/>
  </r>
  <r>
    <s v="Urban"/>
    <x v="10"/>
    <x v="3"/>
    <x v="123"/>
    <x v="358"/>
    <n v="543.20000000000005"/>
    <n v="527.6"/>
    <n v="519"/>
    <n v="342.2"/>
    <n v="365.9"/>
  </r>
  <r>
    <s v="Rural+Urban"/>
    <x v="10"/>
    <x v="3"/>
    <x v="123"/>
    <x v="359"/>
    <n v="546.29999999999995"/>
    <n v="551.79999999999995"/>
    <n v="526.19999999999993"/>
    <n v="346.2"/>
    <n v="369"/>
  </r>
  <r>
    <s v="Rural"/>
    <x v="10"/>
    <x v="4"/>
    <x v="124"/>
    <x v="360"/>
    <n v="553.20000000000005"/>
    <n v="569.90000000000009"/>
    <n v="535.70000000000005"/>
    <n v="352.2"/>
    <n v="372.70000000000005"/>
  </r>
  <r>
    <s v="Urban"/>
    <x v="10"/>
    <x v="4"/>
    <x v="124"/>
    <x v="361"/>
    <n v="545"/>
    <n v="528.70000000000005"/>
    <n v="520.5"/>
    <n v="343.8"/>
    <n v="367.79999999999995"/>
  </r>
  <r>
    <s v="Rural+Urban"/>
    <x v="10"/>
    <x v="4"/>
    <x v="124"/>
    <x v="362"/>
    <n v="547.9"/>
    <n v="553.20000000000005"/>
    <n v="527.9"/>
    <n v="347.6"/>
    <n v="37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n v="2226.8000000000002"/>
  </r>
  <r>
    <x v="1"/>
    <x v="0"/>
    <x v="0"/>
    <n v="2262.2000000000003"/>
  </r>
  <r>
    <x v="2"/>
    <x v="0"/>
    <x v="0"/>
    <n v="2238.9000000000005"/>
  </r>
  <r>
    <x v="0"/>
    <x v="0"/>
    <x v="1"/>
    <n v="2248.3000000000002"/>
  </r>
  <r>
    <x v="1"/>
    <x v="0"/>
    <x v="1"/>
    <n v="2287.5"/>
  </r>
  <r>
    <x v="2"/>
    <x v="0"/>
    <x v="1"/>
    <n v="2261.9"/>
  </r>
  <r>
    <x v="0"/>
    <x v="0"/>
    <x v="2"/>
    <n v="2252.5"/>
  </r>
  <r>
    <x v="1"/>
    <x v="0"/>
    <x v="2"/>
    <n v="2291.6"/>
  </r>
  <r>
    <x v="2"/>
    <x v="0"/>
    <x v="2"/>
    <n v="2266.3000000000002"/>
  </r>
  <r>
    <x v="0"/>
    <x v="0"/>
    <x v="3"/>
    <n v="2255.7999999999997"/>
  </r>
  <r>
    <x v="1"/>
    <x v="0"/>
    <x v="3"/>
    <n v="2293.6999999999998"/>
  </r>
  <r>
    <x v="2"/>
    <x v="0"/>
    <x v="3"/>
    <n v="2269.2000000000003"/>
  </r>
  <r>
    <x v="0"/>
    <x v="0"/>
    <x v="4"/>
    <n v="2267.8000000000002"/>
  </r>
  <r>
    <x v="1"/>
    <x v="0"/>
    <x v="4"/>
    <n v="2306.4"/>
  </r>
  <r>
    <x v="2"/>
    <x v="0"/>
    <x v="4"/>
    <n v="2280.9"/>
  </r>
  <r>
    <x v="0"/>
    <x v="0"/>
    <x v="5"/>
    <n v="2284.5"/>
  </r>
  <r>
    <x v="1"/>
    <x v="0"/>
    <x v="5"/>
    <n v="2322.3000000000002"/>
  </r>
  <r>
    <x v="2"/>
    <x v="0"/>
    <x v="5"/>
    <n v="2297.3000000000002"/>
  </r>
  <r>
    <x v="0"/>
    <x v="0"/>
    <x v="6"/>
    <n v="2287.6999999999998"/>
  </r>
  <r>
    <x v="1"/>
    <x v="0"/>
    <x v="6"/>
    <n v="2314.4"/>
  </r>
  <r>
    <x v="2"/>
    <x v="0"/>
    <x v="6"/>
    <n v="2296.8000000000002"/>
  </r>
  <r>
    <x v="0"/>
    <x v="0"/>
    <x v="7"/>
    <n v="2277.1"/>
  </r>
  <r>
    <x v="1"/>
    <x v="0"/>
    <x v="7"/>
    <n v="2295.7999999999997"/>
  </r>
  <r>
    <x v="2"/>
    <x v="0"/>
    <x v="7"/>
    <n v="2283.4"/>
  </r>
  <r>
    <x v="0"/>
    <x v="1"/>
    <x v="8"/>
    <n v="2283.2000000000003"/>
  </r>
  <r>
    <x v="1"/>
    <x v="1"/>
    <x v="8"/>
    <n v="2310.2000000000003"/>
  </r>
  <r>
    <x v="2"/>
    <x v="1"/>
    <x v="8"/>
    <n v="2292.6999999999998"/>
  </r>
  <r>
    <x v="0"/>
    <x v="1"/>
    <x v="9"/>
    <n v="2265.6999999999998"/>
  </r>
  <r>
    <x v="1"/>
    <x v="1"/>
    <x v="9"/>
    <n v="2303.1999999999998"/>
  </r>
  <r>
    <x v="2"/>
    <x v="1"/>
    <x v="9"/>
    <n v="2279.1"/>
  </r>
  <r>
    <x v="0"/>
    <x v="1"/>
    <x v="10"/>
    <n v="2265.8000000000002"/>
  </r>
  <r>
    <x v="1"/>
    <x v="1"/>
    <x v="10"/>
    <n v="2303.4"/>
  </r>
  <r>
    <x v="2"/>
    <x v="1"/>
    <x v="10"/>
    <n v="2279.1999999999998"/>
  </r>
  <r>
    <x v="0"/>
    <x v="1"/>
    <x v="11"/>
    <n v="2274.1999999999998"/>
  </r>
  <r>
    <x v="1"/>
    <x v="1"/>
    <x v="11"/>
    <n v="2317.7000000000003"/>
  </r>
  <r>
    <x v="2"/>
    <x v="1"/>
    <x v="11"/>
    <n v="2289.6000000000004"/>
  </r>
  <r>
    <x v="0"/>
    <x v="1"/>
    <x v="0"/>
    <n v="2290.7000000000007"/>
  </r>
  <r>
    <x v="1"/>
    <x v="1"/>
    <x v="0"/>
    <n v="2335.1"/>
  </r>
  <r>
    <x v="2"/>
    <x v="1"/>
    <x v="0"/>
    <n v="2306.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x v="0"/>
    <n v="214.7"/>
    <n v="161.4"/>
    <n v="164.6"/>
    <n v="209.9"/>
    <n v="168"/>
    <n v="160.4"/>
    <n v="165"/>
    <n v="118.9"/>
    <n v="186.6"/>
    <n v="173.2"/>
    <n v="180.4"/>
    <n v="170.8"/>
  </r>
  <r>
    <x v="1"/>
    <x v="0"/>
    <x v="0"/>
    <x v="1"/>
    <n v="221.2"/>
    <n v="164.1"/>
    <n v="165.4"/>
    <n v="189.5"/>
    <n v="174.5"/>
    <n v="203.2"/>
    <n v="164.1"/>
    <n v="121.2"/>
    <n v="181.4"/>
    <n v="158.5"/>
    <n v="184.9"/>
    <n v="177.5"/>
  </r>
  <r>
    <x v="2"/>
    <x v="0"/>
    <x v="0"/>
    <x v="2"/>
    <n v="217"/>
    <n v="162.4"/>
    <n v="164.9"/>
    <n v="202.4"/>
    <n v="171"/>
    <n v="174.9"/>
    <n v="164.7"/>
    <n v="119.7"/>
    <n v="184.9"/>
    <n v="167.1"/>
    <n v="182.5"/>
    <n v="173.3"/>
  </r>
  <r>
    <x v="0"/>
    <x v="0"/>
    <x v="1"/>
    <x v="3"/>
    <n v="217.2"/>
    <n v="169.6"/>
    <n v="165.4"/>
    <n v="208.1"/>
    <n v="165.8"/>
    <n v="167.3"/>
    <n v="164.6"/>
    <n v="119.1"/>
    <n v="188.9"/>
    <n v="174.2"/>
    <n v="181.9"/>
    <n v="172.4"/>
  </r>
  <r>
    <x v="1"/>
    <x v="0"/>
    <x v="1"/>
    <x v="4"/>
    <n v="223.4"/>
    <n v="172.8"/>
    <n v="166.4"/>
    <n v="188.6"/>
    <n v="174.1"/>
    <n v="211.5"/>
    <n v="163.6"/>
    <n v="121.4"/>
    <n v="183.5"/>
    <n v="159.1"/>
    <n v="186.3"/>
    <n v="179.3"/>
  </r>
  <r>
    <x v="2"/>
    <x v="0"/>
    <x v="1"/>
    <x v="5"/>
    <n v="219.4"/>
    <n v="170.8"/>
    <n v="165.8"/>
    <n v="200.9"/>
    <n v="169.7"/>
    <n v="182.3"/>
    <n v="164.3"/>
    <n v="119.9"/>
    <n v="187.1"/>
    <n v="167.9"/>
    <n v="183.9"/>
    <n v="174.9"/>
  </r>
  <r>
    <x v="0"/>
    <x v="0"/>
    <x v="2"/>
    <x v="6"/>
    <n v="210.8"/>
    <n v="174.3"/>
    <n v="166.3"/>
    <n v="202.2"/>
    <n v="169.6"/>
    <n v="168.6"/>
    <n v="164.4"/>
    <n v="119.2"/>
    <n v="191.8"/>
    <n v="174.5"/>
    <n v="183.1"/>
    <n v="172.5"/>
  </r>
  <r>
    <x v="1"/>
    <x v="0"/>
    <x v="2"/>
    <x v="7"/>
    <n v="217.1"/>
    <n v="176.6"/>
    <n v="167.1"/>
    <n v="184.8"/>
    <n v="179.5"/>
    <n v="208.5"/>
    <n v="164"/>
    <n v="121.5"/>
    <n v="186.3"/>
    <n v="159.80000000000001"/>
    <n v="187.7"/>
    <n v="179.4"/>
  </r>
  <r>
    <x v="2"/>
    <x v="0"/>
    <x v="2"/>
    <x v="8"/>
    <n v="213"/>
    <n v="175.2"/>
    <n v="166.6"/>
    <n v="195.8"/>
    <n v="174.2"/>
    <n v="182.1"/>
    <n v="164.3"/>
    <n v="120"/>
    <n v="190"/>
    <n v="168.4"/>
    <n v="185.2"/>
    <n v="175"/>
  </r>
  <r>
    <x v="0"/>
    <x v="0"/>
    <x v="3"/>
    <x v="9"/>
    <n v="204.1"/>
    <n v="168.3"/>
    <n v="167.9"/>
    <n v="198.1"/>
    <n v="169.2"/>
    <n v="173.1"/>
    <n v="167.1"/>
    <n v="120.2"/>
    <n v="195.6"/>
    <n v="174.8"/>
    <n v="184"/>
    <n v="173.9"/>
  </r>
  <r>
    <x v="1"/>
    <x v="0"/>
    <x v="3"/>
    <x v="10"/>
    <n v="210.9"/>
    <n v="170.6"/>
    <n v="168.4"/>
    <n v="182.5"/>
    <n v="177.1"/>
    <n v="213.1"/>
    <n v="167.3"/>
    <n v="122.2"/>
    <n v="189.7"/>
    <n v="160.5"/>
    <n v="188.9"/>
    <n v="180.4"/>
  </r>
  <r>
    <x v="2"/>
    <x v="0"/>
    <x v="3"/>
    <x v="11"/>
    <n v="206.5"/>
    <n v="169.2"/>
    <n v="168.1"/>
    <n v="192.4"/>
    <n v="172.9"/>
    <n v="186.7"/>
    <n v="167.2"/>
    <n v="120.9"/>
    <n v="193.6"/>
    <n v="168.8"/>
    <n v="186.3"/>
    <n v="176.3"/>
  </r>
  <r>
    <x v="0"/>
    <x v="0"/>
    <x v="4"/>
    <x v="12"/>
    <n v="206.7"/>
    <n v="169"/>
    <n v="169.5"/>
    <n v="194.1"/>
    <n v="164.1"/>
    <n v="176.9"/>
    <n v="169"/>
    <n v="120.8"/>
    <n v="199.1"/>
    <n v="175.4"/>
    <n v="184.8"/>
    <n v="175.5"/>
  </r>
  <r>
    <x v="1"/>
    <x v="0"/>
    <x v="4"/>
    <x v="13"/>
    <n v="213.7"/>
    <n v="170.9"/>
    <n v="170.1"/>
    <n v="179.3"/>
    <n v="167.5"/>
    <n v="220.8"/>
    <n v="169.2"/>
    <n v="123.1"/>
    <n v="193.6"/>
    <n v="161.1"/>
    <n v="190.4"/>
    <n v="181.8"/>
  </r>
  <r>
    <x v="2"/>
    <x v="0"/>
    <x v="4"/>
    <x v="14"/>
    <n v="209.2"/>
    <n v="169.7"/>
    <n v="169.7"/>
    <n v="188.7"/>
    <n v="165.7"/>
    <n v="191.8"/>
    <n v="169.1"/>
    <n v="121.6"/>
    <n v="197.3"/>
    <n v="169.4"/>
    <n v="187.4"/>
    <n v="177.8"/>
  </r>
  <r>
    <x v="0"/>
    <x v="0"/>
    <x v="5"/>
    <x v="15"/>
    <n v="208.8"/>
    <n v="170.3"/>
    <n v="170.9"/>
    <n v="191.6"/>
    <n v="162.19999999999999"/>
    <n v="184.8"/>
    <n v="169.7"/>
    <n v="121.1"/>
    <n v="201.6"/>
    <n v="175.8"/>
    <n v="185.6"/>
    <n v="177.4"/>
  </r>
  <r>
    <x v="1"/>
    <x v="0"/>
    <x v="5"/>
    <x v="16"/>
    <n v="214.9"/>
    <n v="171.9"/>
    <n v="171"/>
    <n v="177.7"/>
    <n v="165.7"/>
    <n v="228.6"/>
    <n v="169.9"/>
    <n v="123.4"/>
    <n v="196.4"/>
    <n v="161.6"/>
    <n v="191.5"/>
    <n v="183.3"/>
  </r>
  <r>
    <x v="2"/>
    <x v="0"/>
    <x v="5"/>
    <x v="17"/>
    <n v="210.9"/>
    <n v="170.9"/>
    <n v="170.9"/>
    <n v="186.5"/>
    <n v="163.80000000000001"/>
    <n v="199.7"/>
    <n v="169.8"/>
    <n v="121.9"/>
    <n v="199.9"/>
    <n v="169.9"/>
    <n v="188.3"/>
    <n v="179.6"/>
  </r>
  <r>
    <x v="0"/>
    <x v="0"/>
    <x v="6"/>
    <x v="18"/>
    <n v="207.2"/>
    <n v="180.2"/>
    <n v="172.3"/>
    <n v="194"/>
    <n v="159.1"/>
    <n v="171.6"/>
    <n v="170.2"/>
    <n v="121.5"/>
    <n v="204.8"/>
    <n v="176.4"/>
    <n v="186.9"/>
    <n v="176.6"/>
  </r>
  <r>
    <x v="1"/>
    <x v="0"/>
    <x v="6"/>
    <x v="19"/>
    <n v="213.4"/>
    <n v="183.2"/>
    <n v="172.3"/>
    <n v="180"/>
    <n v="162.6"/>
    <n v="205.5"/>
    <n v="171"/>
    <n v="123.4"/>
    <n v="198.8"/>
    <n v="162.1"/>
    <n v="192.4"/>
    <n v="181.3"/>
  </r>
  <r>
    <x v="2"/>
    <x v="0"/>
    <x v="6"/>
    <x v="20"/>
    <n v="209.4"/>
    <n v="181.4"/>
    <n v="172.3"/>
    <n v="188.9"/>
    <n v="160.69999999999999"/>
    <n v="183.1"/>
    <n v="170.5"/>
    <n v="122.1"/>
    <n v="202.8"/>
    <n v="170.4"/>
    <n v="189.5"/>
    <n v="178.3"/>
  </r>
  <r>
    <x v="0"/>
    <x v="0"/>
    <x v="7"/>
    <x v="21"/>
    <n v="206.9"/>
    <n v="189.1"/>
    <n v="173.4"/>
    <n v="193.9"/>
    <n v="156.69999999999999"/>
    <n v="150.19999999999999"/>
    <n v="170.5"/>
    <n v="121.2"/>
    <n v="207.5"/>
    <n v="176.8"/>
    <n v="187.7"/>
    <n v="174.4"/>
  </r>
  <r>
    <x v="1"/>
    <x v="0"/>
    <x v="7"/>
    <x v="22"/>
    <n v="212.9"/>
    <n v="191.9"/>
    <n v="173.9"/>
    <n v="179.1"/>
    <n v="159.5"/>
    <n v="178.7"/>
    <n v="171.3"/>
    <n v="123.1"/>
    <n v="200.5"/>
    <n v="162.80000000000001"/>
    <n v="193.3"/>
    <n v="178.6"/>
  </r>
  <r>
    <x v="2"/>
    <x v="0"/>
    <x v="7"/>
    <x v="23"/>
    <n v="209"/>
    <n v="190.2"/>
    <n v="173.6"/>
    <n v="188.5"/>
    <n v="158"/>
    <n v="159.9"/>
    <n v="170.8"/>
    <n v="121.8"/>
    <n v="205.2"/>
    <n v="171"/>
    <n v="190.3"/>
    <n v="175.9"/>
  </r>
  <r>
    <x v="0"/>
    <x v="1"/>
    <x v="8"/>
    <x v="24"/>
    <n v="208.3"/>
    <n v="192.9"/>
    <n v="174.3"/>
    <n v="192.6"/>
    <n v="156.30000000000001"/>
    <n v="142.9"/>
    <n v="170.7"/>
    <n v="120.3"/>
    <n v="210.5"/>
    <n v="176.9"/>
    <n v="188.5"/>
    <n v="175"/>
  </r>
  <r>
    <x v="1"/>
    <x v="1"/>
    <x v="8"/>
    <x v="25"/>
    <n v="215.2"/>
    <n v="197"/>
    <n v="175.2"/>
    <n v="178"/>
    <n v="160.5"/>
    <n v="175.3"/>
    <n v="171.2"/>
    <n v="122.7"/>
    <n v="204.3"/>
    <n v="163.69999999999999"/>
    <n v="194.3"/>
    <n v="179.5"/>
  </r>
  <r>
    <x v="2"/>
    <x v="1"/>
    <x v="8"/>
    <x v="26"/>
    <n v="210.7"/>
    <n v="194.5"/>
    <n v="174.6"/>
    <n v="187.2"/>
    <n v="158.30000000000001"/>
    <n v="153.9"/>
    <n v="170.9"/>
    <n v="121.1"/>
    <n v="208.4"/>
    <n v="171.4"/>
    <n v="191.2"/>
    <n v="176.7"/>
  </r>
  <r>
    <x v="0"/>
    <x v="1"/>
    <x v="9"/>
    <x v="27"/>
    <n v="205.2"/>
    <n v="173.9"/>
    <n v="177"/>
    <n v="183.4"/>
    <n v="167.2"/>
    <n v="140.9"/>
    <n v="170.4"/>
    <n v="119.1"/>
    <n v="212.1"/>
    <n v="177.6"/>
    <n v="189.9"/>
    <n v="174.8"/>
  </r>
  <r>
    <x v="1"/>
    <x v="1"/>
    <x v="9"/>
    <x v="28"/>
    <n v="212.2"/>
    <n v="177.2"/>
    <n v="177.9"/>
    <n v="172.2"/>
    <n v="172.1"/>
    <n v="175.8"/>
    <n v="172.2"/>
    <n v="121.9"/>
    <n v="204.8"/>
    <n v="164.9"/>
    <n v="196.6"/>
    <n v="180.7"/>
  </r>
  <r>
    <x v="2"/>
    <x v="1"/>
    <x v="9"/>
    <x v="29"/>
    <n v="207.7"/>
    <n v="175.2"/>
    <n v="177.3"/>
    <n v="179.3"/>
    <n v="169.5"/>
    <n v="152.69999999999999"/>
    <n v="171"/>
    <n v="120"/>
    <n v="209.7"/>
    <n v="172.3"/>
    <n v="193"/>
    <n v="177"/>
  </r>
  <r>
    <x v="0"/>
    <x v="1"/>
    <x v="10"/>
    <x v="30"/>
    <n v="205.2"/>
    <n v="173.9"/>
    <n v="177"/>
    <n v="183.3"/>
    <n v="167.2"/>
    <n v="140.9"/>
    <n v="170.5"/>
    <n v="119.1"/>
    <n v="212.1"/>
    <n v="177.6"/>
    <n v="189.9"/>
    <n v="174.8"/>
  </r>
  <r>
    <x v="1"/>
    <x v="1"/>
    <x v="10"/>
    <x v="28"/>
    <n v="212.2"/>
    <n v="177.2"/>
    <n v="177.9"/>
    <n v="172.2"/>
    <n v="172.1"/>
    <n v="175.9"/>
    <n v="172.2"/>
    <n v="121.9"/>
    <n v="204.8"/>
    <n v="164.9"/>
    <n v="196.6"/>
    <n v="180.8"/>
  </r>
  <r>
    <x v="2"/>
    <x v="1"/>
    <x v="10"/>
    <x v="29"/>
    <n v="207.7"/>
    <n v="175.2"/>
    <n v="177.3"/>
    <n v="179.2"/>
    <n v="169.5"/>
    <n v="152.80000000000001"/>
    <n v="171.1"/>
    <n v="120"/>
    <n v="209.7"/>
    <n v="172.3"/>
    <n v="193"/>
    <n v="177"/>
  </r>
  <r>
    <x v="0"/>
    <x v="1"/>
    <x v="11"/>
    <x v="25"/>
    <n v="206.9"/>
    <n v="167.9"/>
    <n v="178.2"/>
    <n v="178.5"/>
    <n v="173.7"/>
    <n v="142.80000000000001"/>
    <n v="172.8"/>
    <n v="120.4"/>
    <n v="215.5"/>
    <n v="178.2"/>
    <n v="190.5"/>
    <n v="175.5"/>
  </r>
  <r>
    <x v="1"/>
    <x v="1"/>
    <x v="11"/>
    <x v="31"/>
    <n v="213.7"/>
    <n v="172.4"/>
    <n v="178.8"/>
    <n v="168.7"/>
    <n v="179.2"/>
    <n v="179.9"/>
    <n v="174.7"/>
    <n v="123.1"/>
    <n v="207.8"/>
    <n v="165.5"/>
    <n v="197"/>
    <n v="182.1"/>
  </r>
  <r>
    <x v="2"/>
    <x v="1"/>
    <x v="11"/>
    <x v="26"/>
    <n v="209.3"/>
    <n v="169.6"/>
    <n v="178.4"/>
    <n v="174.9"/>
    <n v="176.3"/>
    <n v="155.4"/>
    <n v="173.4"/>
    <n v="121.3"/>
    <n v="212.9"/>
    <n v="172.9"/>
    <n v="193.5"/>
    <n v="177.9"/>
  </r>
  <r>
    <x v="0"/>
    <x v="1"/>
    <x v="0"/>
    <x v="32"/>
    <n v="211.5"/>
    <n v="171"/>
    <n v="179.6"/>
    <n v="173.3"/>
    <n v="169"/>
    <n v="148.69999999999999"/>
    <n v="174.9"/>
    <n v="121.9"/>
    <n v="221"/>
    <n v="178.7"/>
    <n v="191.1"/>
    <n v="176.8"/>
  </r>
  <r>
    <x v="1"/>
    <x v="1"/>
    <x v="0"/>
    <x v="28"/>
    <n v="219.4"/>
    <n v="176.7"/>
    <n v="179.4"/>
    <n v="164.4"/>
    <n v="175.8"/>
    <n v="185"/>
    <n v="176.9"/>
    <n v="124.2"/>
    <n v="211.9"/>
    <n v="165.9"/>
    <n v="197.7"/>
    <n v="183.1"/>
  </r>
  <r>
    <x v="2"/>
    <x v="1"/>
    <x v="0"/>
    <x v="33"/>
    <n v="214.3"/>
    <n v="173.2"/>
    <n v="179.5"/>
    <n v="170"/>
    <n v="172.2"/>
    <n v="161"/>
    <n v="175.6"/>
    <n v="122.7"/>
    <n v="218"/>
    <n v="173.4"/>
    <n v="194.2"/>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37E92-68E6-4949-BABB-9C58A0170ACF}"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chartFormat="19">
  <location ref="A3:B9" firstHeaderRow="1" firstDataRow="1" firstDataCol="1" rowPageCount="1" colPageCount="1"/>
  <pivotFields count="10">
    <pivotField compact="0" outline="0" showAll="0"/>
    <pivotField compact="0" outline="0" showAll="0"/>
    <pivotField compact="0" outline="0" showAll="0"/>
    <pivotField axis="axisPage" compact="0" outline="0" multipleItemSelectionAllowed="1" showAll="0">
      <items count="126">
        <item h="1" x="3"/>
        <item h="1" x="7"/>
        <item h="1" x="12"/>
        <item h="1" x="1"/>
        <item h="1" x="0"/>
        <item h="1" x="6"/>
        <item h="1" x="5"/>
        <item h="1" x="2"/>
        <item h="1" x="4"/>
        <item h="1" x="11"/>
        <item h="1" x="10"/>
        <item h="1" x="9"/>
        <item h="1" x="8"/>
        <item h="1" x="16"/>
        <item h="1" x="20"/>
        <item h="1" x="24"/>
        <item h="1" x="14"/>
        <item h="1" x="13"/>
        <item h="1" x="19"/>
        <item h="1" x="18"/>
        <item h="1" x="15"/>
        <item h="1" x="17"/>
        <item h="1" x="23"/>
        <item h="1" x="22"/>
        <item h="1" x="21"/>
        <item h="1" x="28"/>
        <item h="1" x="32"/>
        <item h="1" x="36"/>
        <item h="1" x="26"/>
        <item h="1" x="25"/>
        <item h="1" x="31"/>
        <item h="1" x="30"/>
        <item h="1" x="27"/>
        <item h="1" x="29"/>
        <item h="1" x="35"/>
        <item h="1" x="34"/>
        <item h="1" x="33"/>
        <item h="1" x="40"/>
        <item h="1" x="44"/>
        <item h="1" x="48"/>
        <item h="1" x="38"/>
        <item h="1" x="37"/>
        <item h="1" x="43"/>
        <item h="1" x="42"/>
        <item h="1" x="39"/>
        <item h="1" x="41"/>
        <item h="1" x="47"/>
        <item h="1" x="46"/>
        <item h="1" x="45"/>
        <item h="1" x="52"/>
        <item h="1" x="56"/>
        <item h="1" x="60"/>
        <item h="1" x="50"/>
        <item h="1" x="49"/>
        <item h="1" x="55"/>
        <item h="1" x="54"/>
        <item h="1" x="51"/>
        <item h="1" x="53"/>
        <item h="1" x="59"/>
        <item h="1" x="58"/>
        <item h="1" x="57"/>
        <item h="1" x="64"/>
        <item h="1" x="68"/>
        <item h="1" x="72"/>
        <item h="1" x="62"/>
        <item h="1" x="61"/>
        <item h="1" x="67"/>
        <item h="1" x="66"/>
        <item h="1" x="63"/>
        <item h="1" x="65"/>
        <item h="1" x="71"/>
        <item h="1" x="70"/>
        <item h="1" x="69"/>
        <item h="1" x="79"/>
        <item h="1" x="83"/>
        <item h="1" x="74"/>
        <item h="1" x="73"/>
        <item h="1" x="78"/>
        <item h="1" x="77"/>
        <item h="1" x="75"/>
        <item h="1" x="76"/>
        <item h="1" x="82"/>
        <item h="1" x="81"/>
        <item h="1" x="80"/>
        <item h="1" x="87"/>
        <item h="1" x="91"/>
        <item h="1" x="95"/>
        <item h="1" x="85"/>
        <item h="1" x="84"/>
        <item h="1" x="90"/>
        <item h="1" x="89"/>
        <item h="1" x="86"/>
        <item h="1" x="88"/>
        <item h="1" x="94"/>
        <item h="1" x="93"/>
        <item h="1" x="92"/>
        <item h="1" x="99"/>
        <item h="1" x="103"/>
        <item h="1" x="107"/>
        <item h="1" x="97"/>
        <item h="1" x="96"/>
        <item h="1" x="102"/>
        <item h="1" x="101"/>
        <item h="1" x="98"/>
        <item h="1" x="100"/>
        <item h="1" x="106"/>
        <item h="1" x="105"/>
        <item h="1" x="104"/>
        <item h="1" x="111"/>
        <item h="1" x="115"/>
        <item h="1" x="119"/>
        <item h="1" x="109"/>
        <item h="1" x="108"/>
        <item h="1" x="114"/>
        <item h="1" x="113"/>
        <item h="1" x="110"/>
        <item h="1" x="112"/>
        <item h="1" x="118"/>
        <item h="1" x="117"/>
        <item h="1" x="116"/>
        <item h="1" x="123"/>
        <item h="1" x="121"/>
        <item h="1" x="120"/>
        <item h="1" x="122"/>
        <item x="124"/>
        <item t="default"/>
      </items>
    </pivotField>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 dataField="1" compact="0" numFmtId="164" outline="0" showAll="0"/>
  </pivotFields>
  <rowFields count="1">
    <field x="-2"/>
  </rowFields>
  <rowItems count="6">
    <i>
      <x/>
    </i>
    <i i="1">
      <x v="1"/>
    </i>
    <i i="2">
      <x v="2"/>
    </i>
    <i i="3">
      <x v="3"/>
    </i>
    <i i="4">
      <x v="4"/>
    </i>
    <i i="5">
      <x v="5"/>
    </i>
  </rowItems>
  <colItems count="1">
    <i/>
  </colItems>
  <pageFields count="1">
    <pageField fld="3" hier="-1"/>
  </pageFields>
  <dataFields count="6">
    <dataField name="Sum of FOOD" fld="4" baseField="0" baseItem="0" numFmtId="164"/>
    <dataField name="Sum of MISCELLANEOUS" fld="5" baseField="0" baseItem="0" numFmtId="164"/>
    <dataField name="Sum of APPAREL" fld="6" baseField="0" baseItem="0" numFmtId="164"/>
    <dataField name="Sum of HOUSING" fld="7" baseField="0" baseItem="0" numFmtId="164"/>
    <dataField name="Sum of TRANSPORT" fld="8" baseField="0" baseItem="0" numFmtId="164"/>
    <dataField name="Sum of MEDICAL CARE" fld="9" baseField="0" baseItem="0" numFmtId="164"/>
  </dataFields>
  <formats count="7">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outline="0" fieldPosition="0">
        <references count="1">
          <reference field="4294967294" count="6">
            <x v="0"/>
            <x v="1"/>
            <x v="2"/>
            <x v="3"/>
            <x v="4"/>
            <x v="5"/>
          </reference>
        </references>
      </pivotArea>
    </format>
    <format dxfId="7">
      <pivotArea dataOnly="0" labelOnly="1" grandCol="1" outline="0" axis="axisCol" fieldPosition="0"/>
    </format>
    <format dxfId="6">
      <pivotArea dataOnly="0" labelOnly="1" outline="0" fieldPosition="0">
        <references count="1">
          <reference field="3" count="0"/>
        </references>
      </pivotArea>
    </format>
    <format dxfId="5">
      <pivotArea field="3" type="button" dataOnly="0" labelOnly="1" outline="0" axis="axisPage" fieldPosition="0"/>
    </format>
  </formats>
  <conditionalFormats count="2">
    <conditionalFormat priority="3">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89F905-FBBB-4401-8403-C0DC8FAD9AB2}" name="PivotTable8"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C20" firstHeaderRow="2" firstDataRow="2" firstDataCol="2"/>
  <pivotFields count="4">
    <pivotField compact="0" outline="0" showAll="0">
      <items count="4">
        <item h="1" x="0"/>
        <item x="2"/>
        <item h="1" x="1"/>
        <item t="default"/>
      </items>
    </pivotField>
    <pivotField axis="axisRow" compact="0" outline="0" showAll="0" sortType="ascending">
      <items count="3">
        <item x="0"/>
        <item x="1"/>
        <item t="default"/>
      </items>
    </pivotField>
    <pivotField axis="axisRow" compact="0" outline="0" showAll="0" sortType="ascending">
      <items count="13">
        <item x="8"/>
        <item x="9"/>
        <item x="10"/>
        <item x="11"/>
        <item x="0"/>
        <item x="1"/>
        <item x="2"/>
        <item x="3"/>
        <item x="4"/>
        <item x="5"/>
        <item x="6"/>
        <item x="7"/>
        <item t="default"/>
      </items>
    </pivotField>
    <pivotField dataField="1" compact="0" outline="0" showAll="0"/>
  </pivotFields>
  <rowFields count="2">
    <field x="1"/>
    <field x="2"/>
  </rowFields>
  <rowItems count="16">
    <i>
      <x/>
      <x v="4"/>
    </i>
    <i r="1">
      <x v="5"/>
    </i>
    <i r="1">
      <x v="6"/>
    </i>
    <i r="1">
      <x v="7"/>
    </i>
    <i r="1">
      <x v="8"/>
    </i>
    <i r="1">
      <x v="9"/>
    </i>
    <i r="1">
      <x v="10"/>
    </i>
    <i r="1">
      <x v="11"/>
    </i>
    <i t="default">
      <x/>
    </i>
    <i>
      <x v="1"/>
      <x/>
    </i>
    <i r="1">
      <x v="1"/>
    </i>
    <i r="1">
      <x v="2"/>
    </i>
    <i r="1">
      <x v="3"/>
    </i>
    <i r="1">
      <x v="4"/>
    </i>
    <i t="default">
      <x v="1"/>
    </i>
    <i t="grand">
      <x/>
    </i>
  </rowItems>
  <colItems count="1">
    <i/>
  </colItems>
  <dataFields count="1">
    <dataField name="Sum of FOOD" fld="3"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2609E3-C34B-4818-B29B-529E6E45D3C8}" name="PivotTable3" cacheId="3" dataOnRows="1"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Q18" firstHeaderRow="1" firstDataRow="3" firstDataCol="1"/>
  <pivotFields count="16">
    <pivotField compact="0" outline="0" showAll="0">
      <items count="4">
        <item x="0"/>
        <item x="2"/>
        <item x="1"/>
        <item t="default"/>
      </items>
    </pivotField>
    <pivotField axis="axisCol" compact="0" outline="0" showAll="0">
      <items count="3">
        <item x="0"/>
        <item x="1"/>
        <item t="default"/>
      </items>
    </pivotField>
    <pivotField axis="axisCol" compact="0" outline="0" showAll="0">
      <items count="13">
        <item x="8"/>
        <item x="9"/>
        <item x="10"/>
        <item x="11"/>
        <item x="0"/>
        <item x="1"/>
        <item x="2"/>
        <item x="3"/>
        <item x="4"/>
        <item x="5"/>
        <item x="6"/>
        <item x="7"/>
        <item t="default"/>
      </items>
    </pivotField>
    <pivotField dataField="1" compact="0" outline="0" showAll="0">
      <items count="35">
        <item x="0"/>
        <item x="3"/>
        <item x="2"/>
        <item x="5"/>
        <item x="6"/>
        <item x="8"/>
        <item x="1"/>
        <item x="4"/>
        <item x="7"/>
        <item x="9"/>
        <item x="11"/>
        <item x="10"/>
        <item x="12"/>
        <item x="14"/>
        <item x="15"/>
        <item x="13"/>
        <item x="17"/>
        <item x="16"/>
        <item x="18"/>
        <item x="20"/>
        <item x="19"/>
        <item x="21"/>
        <item x="23"/>
        <item x="22"/>
        <item x="32"/>
        <item x="25"/>
        <item x="33"/>
        <item x="26"/>
        <item x="24"/>
        <item x="27"/>
        <item x="30"/>
        <item x="29"/>
        <item x="28"/>
        <item x="31"/>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1">
    <field x="-2"/>
  </rowFields>
  <rowItems count="13">
    <i>
      <x/>
    </i>
    <i i="1">
      <x v="1"/>
    </i>
    <i i="2">
      <x v="2"/>
    </i>
    <i i="3">
      <x v="3"/>
    </i>
    <i i="4">
      <x v="4"/>
    </i>
    <i i="5">
      <x v="5"/>
    </i>
    <i i="6">
      <x v="6"/>
    </i>
    <i i="7">
      <x v="7"/>
    </i>
    <i i="8">
      <x v="8"/>
    </i>
    <i i="9">
      <x v="9"/>
    </i>
    <i i="10">
      <x v="10"/>
    </i>
    <i i="11">
      <x v="11"/>
    </i>
    <i i="12">
      <x v="12"/>
    </i>
  </rowItems>
  <colFields count="2">
    <field x="1"/>
    <field x="2"/>
  </colFields>
  <colItems count="16">
    <i>
      <x/>
      <x v="4"/>
    </i>
    <i r="1">
      <x v="5"/>
    </i>
    <i r="1">
      <x v="6"/>
    </i>
    <i r="1">
      <x v="7"/>
    </i>
    <i r="1">
      <x v="8"/>
    </i>
    <i r="1">
      <x v="9"/>
    </i>
    <i r="1">
      <x v="10"/>
    </i>
    <i r="1">
      <x v="11"/>
    </i>
    <i t="default">
      <x/>
    </i>
    <i>
      <x v="1"/>
      <x/>
    </i>
    <i r="1">
      <x v="1"/>
    </i>
    <i r="1">
      <x v="2"/>
    </i>
    <i r="1">
      <x v="3"/>
    </i>
    <i r="1">
      <x v="4"/>
    </i>
    <i t="default">
      <x v="1"/>
    </i>
    <i t="grand">
      <x/>
    </i>
  </colItems>
  <dataFields count="13">
    <dataField name="Sum of Cereals and products" fld="3" baseField="2" baseItem="4"/>
    <dataField name="Sum of Meat and fish" fld="4" baseField="0" baseItem="0"/>
    <dataField name="Sum of Egg" fld="5" baseField="0" baseItem="0"/>
    <dataField name="Sum of Milk and products" fld="6" baseField="0" baseItem="0"/>
    <dataField name="Sum of Oils and fats" fld="7" baseField="0" baseItem="0"/>
    <dataField name="Sum of Fruits" fld="8" baseField="0" baseItem="0"/>
    <dataField name="Sum of Vegetables" fld="9" baseField="0" baseItem="0"/>
    <dataField name="Sum of Pulses and products" fld="10" baseField="0" baseItem="0"/>
    <dataField name="Sum of Sugar and Confectionery" fld="11" baseField="0" baseItem="0"/>
    <dataField name="Sum of Spices" fld="12" baseField="0" baseItem="0"/>
    <dataField name="Sum of Non-alcoholic beverages" fld="13" baseField="0" baseItem="0"/>
    <dataField name="Sum of Prepared meals, snacks, sweets etc." fld="14" baseField="0" baseItem="0"/>
    <dataField name="Sum of Food and beverag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E97BFBD-BF9E-4999-A38C-B99A3709696F}" autoFormatId="16" applyNumberFormats="0" applyBorderFormats="0" applyFontFormats="0" applyPatternFormats="0" applyAlignmentFormats="0" applyWidthHeightFormats="0">
  <queryTableRefresh nextId="5" unboundColumnsRight="1">
    <queryTableFields count="4">
      <queryTableField id="1" name="Year" tableColumnId="1"/>
      <queryTableField id="2" name="Sector" tableColumnId="2"/>
      <queryTableField id="3" name="avg general index"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472084C-B7A0-46DC-B627-F7B490871CB2}" autoFormatId="16" applyNumberFormats="0" applyBorderFormats="0" applyFontFormats="0" applyPatternFormats="0" applyAlignmentFormats="0" applyWidthHeightFormats="0">
  <queryTableRefresh nextId="17">
    <queryTableFields count="16">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391098DA-B5F7-4FB6-92F0-99960A8F5A3B}" sourceName="Sector">
  <pivotTables>
    <pivotTable tabId="30" name="PivotTable8"/>
  </pivotTables>
  <data>
    <tabular pivotCacheId="13642200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33521036-9BF0-48A1-8B9A-0F927E487017}" cache="Slicer_Sector" caption="Sector"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005A9A-3274-4C64-8A08-F2810D1D6A5E}" name="Table2" displayName="Table2" ref="A1:AD373" totalsRowShown="0" headerRowDxfId="47">
  <autoFilter ref="A1:AD373" xr:uid="{1B251CA8-5D58-44D1-A1D8-FBB08EBB3BCF}"/>
  <tableColumns count="30">
    <tableColumn id="1" xr3:uid="{A1233AAA-A8D0-4528-A71D-941BA2E30A1A}" name="Sector"/>
    <tableColumn id="2" xr3:uid="{63ADE55D-251D-46AC-A756-CD45CA9802F8}" name="Year"/>
    <tableColumn id="3" xr3:uid="{5644ED6F-89B3-4E66-A7AD-02ABC92E2D5A}" name="Month"/>
    <tableColumn id="4" xr3:uid="{A57D1250-2186-4B54-9657-4970F0020C18}" name="Cereals and products" dataDxfId="46"/>
    <tableColumn id="5" xr3:uid="{E195F3EF-1DC9-4A09-81B2-06474AAAEA29}" name="Meat and fish" dataDxfId="45"/>
    <tableColumn id="6" xr3:uid="{82C2E8DF-E516-431A-B6ED-0E58F7559667}" name="Egg" dataDxfId="44"/>
    <tableColumn id="7" xr3:uid="{86F2B66A-6709-4079-AD57-3A3116C4CA68}" name="Milk and products" dataDxfId="43"/>
    <tableColumn id="8" xr3:uid="{8BDC1A78-6CE7-411C-81F1-9E741ECECF7C}" name="Oils and fats" dataDxfId="42"/>
    <tableColumn id="9" xr3:uid="{165C384A-6EBB-464F-8E97-73644FFAB23B}" name="Fruits" dataDxfId="41"/>
    <tableColumn id="10" xr3:uid="{D5721E67-DB8A-42D7-8DA0-DCEE0AE9A4C1}" name="Vegetables" dataDxfId="40"/>
    <tableColumn id="11" xr3:uid="{6A03D49E-DF54-4D81-A1D7-D1C43AFD3354}" name="Pulses and products" dataDxfId="39"/>
    <tableColumn id="12" xr3:uid="{0780355B-AFBC-464F-A96D-D9860949D79C}" name="Sugar and Confectionery" dataDxfId="38"/>
    <tableColumn id="13" xr3:uid="{C4AB05E8-F4C6-4C6F-872C-6CF83FAF15B6}" name="Spices" dataDxfId="37"/>
    <tableColumn id="14" xr3:uid="{4196A2EB-A5B5-4693-B023-5E9FDDB27F1E}" name="Non-alcoholic beverages" dataDxfId="36"/>
    <tableColumn id="15" xr3:uid="{1124AEE9-DD24-4B1E-9B2B-B109FD05F24C}" name="Prepared meals, snacks, sweets etc." dataDxfId="35"/>
    <tableColumn id="16" xr3:uid="{C2E31BBB-7A3A-45E6-959F-B517D60DAFEE}" name="Food and beverages" dataDxfId="34"/>
    <tableColumn id="17" xr3:uid="{078AD3FD-7291-42B7-8BC1-F4CB725456F8}" name="Pan, tobacco and intoxicants" dataDxfId="33"/>
    <tableColumn id="18" xr3:uid="{B56A28F1-46AE-47C5-A64C-78CD2A04A974}" name="Clothing" dataDxfId="32"/>
    <tableColumn id="19" xr3:uid="{6C02F574-76E1-46A0-9C78-C0F328BF8DBB}" name="Footwear" dataDxfId="31"/>
    <tableColumn id="20" xr3:uid="{4E462B26-5902-4050-891B-C5A431A85C86}" name="Clothing and footwear" dataDxfId="30"/>
    <tableColumn id="21" xr3:uid="{20FEB31E-1AB9-4651-BB0B-B0AAD3AE96E3}" name="Housing" dataDxfId="29"/>
    <tableColumn id="22" xr3:uid="{438D3034-50A8-40F5-B82A-14FC3B1928A7}" name="Fuel and light" dataDxfId="28"/>
    <tableColumn id="23" xr3:uid="{AB6C826F-4F2B-41F7-9E2E-A92C1192F401}" name="Household goods and services" dataDxfId="27"/>
    <tableColumn id="24" xr3:uid="{A8816C80-58DC-4EC6-8507-61B54BE32095}" name="Health" dataDxfId="26"/>
    <tableColumn id="25" xr3:uid="{F033B3F6-AF39-4199-A1CA-1D5A6612122E}" name="Transport and communication" dataDxfId="25"/>
    <tableColumn id="26" xr3:uid="{23A6E081-F85F-466D-BF39-50F1D39CCD9C}" name="Recreation and amusement" dataDxfId="24"/>
    <tableColumn id="27" xr3:uid="{832FD6AD-7270-4D1E-80F5-931B48B610E2}" name="Education" dataDxfId="23"/>
    <tableColumn id="28" xr3:uid="{B90E0DBC-29EA-44EC-A4E4-E73D33397931}" name="Personal care and effects" dataDxfId="22"/>
    <tableColumn id="29" xr3:uid="{5509CC2B-96E2-4F13-89F6-DF7B9BAD2451}" name="Miscellaneous" dataDxfId="21"/>
    <tableColumn id="30" xr3:uid="{396AA29F-9BDA-4BC1-B07B-325243E56AB3}" name="General index"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BF7614-5C3B-4CC6-B3B2-2AFDC1AE821A}" name="Table1" displayName="Table1" ref="A1:J373" totalsRowShown="0" headerRowDxfId="19">
  <autoFilter ref="A1:J373" xr:uid="{B5BF7614-5C3B-4CC6-B3B2-2AFDC1AE821A}">
    <filterColumn colId="0">
      <filters>
        <filter val="Rural+Urban"/>
      </filters>
    </filterColumn>
  </autoFilter>
  <tableColumns count="10">
    <tableColumn id="1" xr3:uid="{ABBAB296-45CE-4423-9523-C878E071C396}" name="Sector"/>
    <tableColumn id="2" xr3:uid="{FA7978DB-0A92-4234-B7C1-7ED7228B8543}" name="Year"/>
    <tableColumn id="3" xr3:uid="{EAC5FC6A-2A98-4BEF-879F-9D4EF075D385}" name="Month"/>
    <tableColumn id="4" xr3:uid="{53578A70-D8A5-43BD-A71D-AECE1AAE0F5E}" name="year-month" dataDxfId="18">
      <calculatedColumnFormula>CONCATENATE(B2,"-",C2)</calculatedColumnFormula>
    </tableColumn>
    <tableColumn id="5" xr3:uid="{1B03CC26-F58B-472C-9C23-520616866B31}" name="FOOD" dataDxfId="17"/>
    <tableColumn id="6" xr3:uid="{4808B08F-D8DD-4B4E-BC18-8865D941B266}" name="MISCELLANEOUS" dataDxfId="16"/>
    <tableColumn id="7" xr3:uid="{8D842F4E-C179-474B-8C7E-9F554BEA0C84}" name="APPAREL" dataDxfId="15"/>
    <tableColumn id="8" xr3:uid="{E523A232-E915-48B8-A724-2FABFE5568F0}" name="HOUSING" dataDxfId="14"/>
    <tableColumn id="9" xr3:uid="{46CAC3BC-63BA-469C-BB3F-4E18926AB72D}" name="TRANSPORT" dataDxfId="13"/>
    <tableColumn id="10" xr3:uid="{B19E4BE3-E876-4C59-A81E-9715FA2F3A0C}" name="MEDICAL CARE"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147429-2337-47B0-AF9D-C1284A1446FF}" name="Table2_1" displayName="Table2_1" ref="A5:D13" tableType="queryTable" totalsRowShown="0">
  <autoFilter ref="A5:D13" xr:uid="{D2147429-2337-47B0-AF9D-C1284A1446FF}"/>
  <tableColumns count="4">
    <tableColumn id="1" xr3:uid="{C2E8D02D-84C0-4FE3-A130-580CB118684B}" uniqueName="1" name="Year" queryTableFieldId="1"/>
    <tableColumn id="2" xr3:uid="{FA072A48-6AA6-44FF-BF60-93C96DC72867}" uniqueName="2" name="Sector" queryTableFieldId="2" dataDxfId="4"/>
    <tableColumn id="3" xr3:uid="{EBEB33C9-5DE1-4064-BA4E-A78C9F78BD9E}" uniqueName="3" name="Avg General index" queryTableFieldId="3" dataDxfId="3"/>
    <tableColumn id="4" xr3:uid="{5525CDFD-837F-4EC4-8A8D-12C56013EE61}" uniqueName="4" name="CPI I/R(YOY)" queryTableFieldId="4" dataDxfId="2" dataCellStyle="Percent">
      <calculatedColumnFormula>(Table2_1[[#This Row],[Avg General index]]-C5)/C5*100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836825-9687-4932-AB86-FA8766396123}" name="Table2__2" displayName="Table2__2" ref="A1:P40" tableType="queryTable" totalsRowShown="0">
  <autoFilter ref="A1:P40" xr:uid="{1E836825-9687-4932-AB86-FA8766396123}"/>
  <tableColumns count="16">
    <tableColumn id="1" xr3:uid="{C90A888A-FB92-4972-B8CA-5DEE610EABA2}" uniqueName="1" name="Sector" queryTableFieldId="1" dataDxfId="1"/>
    <tableColumn id="2" xr3:uid="{3B8A37D3-B440-4481-B058-7DA259EE9CC7}" uniqueName="2" name="Year" queryTableFieldId="2"/>
    <tableColumn id="3" xr3:uid="{DC1C27F3-BA78-4A13-B688-1B9D702E3603}" uniqueName="3" name="Month" queryTableFieldId="3" dataDxfId="0"/>
    <tableColumn id="4" xr3:uid="{384A932B-3CC4-444A-AE47-7D7032B9EB9D}" uniqueName="4" name="Cereals and products" queryTableFieldId="4"/>
    <tableColumn id="5" xr3:uid="{50E4493E-DE0C-48C0-B000-0659B35F6152}" uniqueName="5" name="Meat and fish" queryTableFieldId="5"/>
    <tableColumn id="6" xr3:uid="{28E63496-3E0C-4BB1-93F2-2E27FD5C1184}" uniqueName="6" name="Egg" queryTableFieldId="6"/>
    <tableColumn id="7" xr3:uid="{9832CD70-2B83-4394-8B60-97A98CD69229}" uniqueName="7" name="Milk and products" queryTableFieldId="7"/>
    <tableColumn id="8" xr3:uid="{5C51D61B-D0F4-4864-B122-B74D7F9118A2}" uniqueName="8" name="Oils and fats" queryTableFieldId="8"/>
    <tableColumn id="9" xr3:uid="{979A9468-F03E-4146-B921-29379975DB3E}" uniqueName="9" name="Fruits" queryTableFieldId="9"/>
    <tableColumn id="10" xr3:uid="{BDC29208-352C-4C61-A788-4AC186ACB532}" uniqueName="10" name="Vegetables" queryTableFieldId="10"/>
    <tableColumn id="11" xr3:uid="{A19D20AF-0D30-4917-8002-4AB8167500A8}" uniqueName="11" name="Pulses and products" queryTableFieldId="11"/>
    <tableColumn id="12" xr3:uid="{59CCB371-3018-42E2-B6AB-6136777436B5}" uniqueName="12" name="Sugar and Confectionery" queryTableFieldId="12"/>
    <tableColumn id="13" xr3:uid="{2044F662-6F56-4B11-B9F7-38A931C81836}" uniqueName="13" name="Spices" queryTableFieldId="13"/>
    <tableColumn id="14" xr3:uid="{747B4AA2-6313-4C89-91D7-502B4DFB5FEC}" uniqueName="14" name="Non-alcoholic beverages" queryTableFieldId="14"/>
    <tableColumn id="15" xr3:uid="{15F57A6F-589B-4D14-9677-0A5F65225BD9}" uniqueName="15" name="Prepared meals, snacks, sweets etc." queryTableFieldId="15"/>
    <tableColumn id="16" xr3:uid="{B4626DB2-6339-4DEE-AF82-1687C6C60961}" uniqueName="16" name="Food and beverages"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51CA8-5D58-44D1-A1D8-FBB08EBB3BCF}">
  <dimension ref="A1:AD373"/>
  <sheetViews>
    <sheetView workbookViewId="0"/>
  </sheetViews>
  <sheetFormatPr defaultRowHeight="14.4"/>
  <cols>
    <col min="1" max="1" width="10.109375" customWidth="1"/>
    <col min="4" max="4" width="20.44140625" style="1" customWidth="1"/>
    <col min="5" max="5" width="13.77734375" style="1" customWidth="1"/>
    <col min="6" max="6" width="8.88671875" style="1"/>
    <col min="7" max="7" width="17.6640625" style="1" customWidth="1"/>
    <col min="8" max="8" width="13.109375" style="1" customWidth="1"/>
    <col min="9" max="9" width="8.88671875" style="1"/>
    <col min="10" max="10" width="12.109375" style="1" customWidth="1"/>
    <col min="11" max="11" width="19.5546875" style="1" customWidth="1"/>
    <col min="12" max="12" width="22.88671875" style="1" customWidth="1"/>
    <col min="13" max="13" width="8.88671875" style="1"/>
    <col min="14" max="14" width="23.33203125" style="1" customWidth="1"/>
    <col min="15" max="15" width="32.88671875" style="1" customWidth="1"/>
    <col min="16" max="16" width="19.21875" style="1" customWidth="1"/>
    <col min="17" max="17" width="26.6640625" style="1" customWidth="1"/>
    <col min="18" max="18" width="9.77734375" style="1" customWidth="1"/>
    <col min="19" max="19" width="10.5546875" style="1" customWidth="1"/>
    <col min="20" max="20" width="20.77734375" style="1" customWidth="1"/>
    <col min="21" max="21" width="9.5546875" style="1" customWidth="1"/>
    <col min="22" max="22" width="13.88671875" style="1" customWidth="1"/>
    <col min="23" max="23" width="27.6640625" style="1" customWidth="1"/>
    <col min="24" max="24" width="8.88671875" style="1"/>
    <col min="25" max="25" width="27.6640625" style="1" customWidth="1"/>
    <col min="26" max="26" width="25.5546875" style="1" customWidth="1"/>
    <col min="27" max="27" width="11.21875" style="1" customWidth="1"/>
    <col min="28" max="28" width="23.5546875" style="1" customWidth="1"/>
    <col min="29" max="29" width="14.77734375" style="1" customWidth="1"/>
    <col min="30" max="30" width="14.33203125" style="1" customWidth="1"/>
  </cols>
  <sheetData>
    <row r="1" spans="1:30" s="25" customFormat="1">
      <c r="A1" s="46" t="s">
        <v>0</v>
      </c>
      <c r="B1" s="46" t="s">
        <v>1</v>
      </c>
      <c r="C1" s="46" t="s">
        <v>2</v>
      </c>
      <c r="D1" s="47" t="s">
        <v>3</v>
      </c>
      <c r="E1" s="47" t="s">
        <v>4</v>
      </c>
      <c r="F1" s="47" t="s">
        <v>5</v>
      </c>
      <c r="G1" s="47" t="s">
        <v>6</v>
      </c>
      <c r="H1" s="47" t="s">
        <v>7</v>
      </c>
      <c r="I1" s="47" t="s">
        <v>8</v>
      </c>
      <c r="J1" s="47" t="s">
        <v>9</v>
      </c>
      <c r="K1" s="47" t="s">
        <v>10</v>
      </c>
      <c r="L1" s="47" t="s">
        <v>11</v>
      </c>
      <c r="M1" s="47" t="s">
        <v>12</v>
      </c>
      <c r="N1" s="47" t="s">
        <v>13</v>
      </c>
      <c r="O1" s="47" t="s">
        <v>14</v>
      </c>
      <c r="P1" s="47" t="s">
        <v>15</v>
      </c>
      <c r="Q1" s="47" t="s">
        <v>16</v>
      </c>
      <c r="R1" s="47" t="s">
        <v>17</v>
      </c>
      <c r="S1" s="47" t="s">
        <v>18</v>
      </c>
      <c r="T1" s="47" t="s">
        <v>19</v>
      </c>
      <c r="U1" s="47" t="s">
        <v>20</v>
      </c>
      <c r="V1" s="47" t="s">
        <v>21</v>
      </c>
      <c r="W1" s="47" t="s">
        <v>22</v>
      </c>
      <c r="X1" s="47" t="s">
        <v>23</v>
      </c>
      <c r="Y1" s="47" t="s">
        <v>24</v>
      </c>
      <c r="Z1" s="47" t="s">
        <v>25</v>
      </c>
      <c r="AA1" s="47" t="s">
        <v>26</v>
      </c>
      <c r="AB1" s="47" t="s">
        <v>27</v>
      </c>
      <c r="AC1" s="47" t="s">
        <v>28</v>
      </c>
      <c r="AD1" s="47" t="s">
        <v>29</v>
      </c>
    </row>
    <row r="2" spans="1:30">
      <c r="A2" t="s">
        <v>30</v>
      </c>
      <c r="B2">
        <v>2013</v>
      </c>
      <c r="C2"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v>100.3</v>
      </c>
      <c r="V2" s="1">
        <v>105.5</v>
      </c>
      <c r="W2" s="1">
        <v>104.8</v>
      </c>
      <c r="X2" s="1">
        <v>104</v>
      </c>
      <c r="Y2" s="1">
        <v>103.3</v>
      </c>
      <c r="Z2" s="1">
        <v>103.4</v>
      </c>
      <c r="AA2" s="1">
        <v>103.8</v>
      </c>
      <c r="AB2" s="1">
        <v>104.7</v>
      </c>
      <c r="AC2" s="1">
        <v>104</v>
      </c>
      <c r="AD2" s="1">
        <v>105.1</v>
      </c>
    </row>
    <row r="3" spans="1:30">
      <c r="A3" t="s">
        <v>32</v>
      </c>
      <c r="B3">
        <v>2013</v>
      </c>
      <c r="C3"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c r="A4" t="s">
        <v>33</v>
      </c>
      <c r="B4">
        <v>2013</v>
      </c>
      <c r="C4"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c r="A5" t="s">
        <v>30</v>
      </c>
      <c r="B5">
        <v>2013</v>
      </c>
      <c r="C5" t="s">
        <v>34</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v>100.4</v>
      </c>
      <c r="V5" s="1">
        <v>106.2</v>
      </c>
      <c r="W5" s="1">
        <v>105.2</v>
      </c>
      <c r="X5" s="1">
        <v>104.4</v>
      </c>
      <c r="Y5" s="1">
        <v>103.9</v>
      </c>
      <c r="Z5" s="1">
        <v>104</v>
      </c>
      <c r="AA5" s="1">
        <v>104.1</v>
      </c>
      <c r="AB5" s="1">
        <v>104.6</v>
      </c>
      <c r="AC5" s="1">
        <v>104.4</v>
      </c>
      <c r="AD5" s="1">
        <v>105.8</v>
      </c>
    </row>
    <row r="6" spans="1:30">
      <c r="A6" t="s">
        <v>32</v>
      </c>
      <c r="B6">
        <v>2013</v>
      </c>
      <c r="C6" t="s">
        <v>34</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c r="A7" t="s">
        <v>33</v>
      </c>
      <c r="B7">
        <v>2013</v>
      </c>
      <c r="C7" t="s">
        <v>34</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c r="A8" t="s">
        <v>30</v>
      </c>
      <c r="B8">
        <v>2013</v>
      </c>
      <c r="C8" t="s">
        <v>35</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v>100.4</v>
      </c>
      <c r="V8" s="1">
        <v>106.1</v>
      </c>
      <c r="W8" s="1">
        <v>105.6</v>
      </c>
      <c r="X8" s="1">
        <v>104.7</v>
      </c>
      <c r="Y8" s="1">
        <v>104.6</v>
      </c>
      <c r="Z8" s="1">
        <v>104</v>
      </c>
      <c r="AA8" s="1">
        <v>104.3</v>
      </c>
      <c r="AB8" s="1">
        <v>104.3</v>
      </c>
      <c r="AC8" s="1">
        <v>104.6</v>
      </c>
      <c r="AD8" s="1">
        <v>106</v>
      </c>
    </row>
    <row r="9" spans="1:30">
      <c r="A9" t="s">
        <v>32</v>
      </c>
      <c r="B9">
        <v>2013</v>
      </c>
      <c r="C9" t="s">
        <v>35</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c r="A10" t="s">
        <v>33</v>
      </c>
      <c r="B10">
        <v>2013</v>
      </c>
      <c r="C10" t="s">
        <v>35</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c r="A11" t="s">
        <v>30</v>
      </c>
      <c r="B11">
        <v>2013</v>
      </c>
      <c r="C11" t="s">
        <v>36</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v>100.5</v>
      </c>
      <c r="V11" s="1">
        <v>106.5</v>
      </c>
      <c r="W11" s="1">
        <v>106.1</v>
      </c>
      <c r="X11" s="1">
        <v>105.1</v>
      </c>
      <c r="Y11" s="1">
        <v>104.4</v>
      </c>
      <c r="Z11" s="1">
        <v>104.5</v>
      </c>
      <c r="AA11" s="1">
        <v>104.8</v>
      </c>
      <c r="AB11" s="1">
        <v>102.7</v>
      </c>
      <c r="AC11" s="1">
        <v>104.6</v>
      </c>
      <c r="AD11" s="1">
        <v>106.4</v>
      </c>
    </row>
    <row r="12" spans="1:30">
      <c r="A12" t="s">
        <v>32</v>
      </c>
      <c r="B12">
        <v>2013</v>
      </c>
      <c r="C12" t="s">
        <v>36</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c r="A13" t="s">
        <v>33</v>
      </c>
      <c r="B13">
        <v>2013</v>
      </c>
      <c r="C13" t="s">
        <v>36</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c r="A14" t="s">
        <v>30</v>
      </c>
      <c r="B14">
        <v>2013</v>
      </c>
      <c r="C14" t="s">
        <v>37</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v>100.5</v>
      </c>
      <c r="V14" s="1">
        <v>107.5</v>
      </c>
      <c r="W14" s="1">
        <v>106.8</v>
      </c>
      <c r="X14" s="1">
        <v>105.7</v>
      </c>
      <c r="Y14" s="1">
        <v>104.1</v>
      </c>
      <c r="Z14" s="1">
        <v>105</v>
      </c>
      <c r="AA14" s="1">
        <v>105.5</v>
      </c>
      <c r="AB14" s="1">
        <v>102.1</v>
      </c>
      <c r="AC14" s="1">
        <v>104.8</v>
      </c>
      <c r="AD14" s="1">
        <v>107.2</v>
      </c>
    </row>
    <row r="15" spans="1:30">
      <c r="A15" t="s">
        <v>32</v>
      </c>
      <c r="B15">
        <v>2013</v>
      </c>
      <c r="C15" t="s">
        <v>37</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c r="A16" t="s">
        <v>33</v>
      </c>
      <c r="B16">
        <v>2013</v>
      </c>
      <c r="C16" t="s">
        <v>37</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c r="A17" t="s">
        <v>30</v>
      </c>
      <c r="B17">
        <v>2013</v>
      </c>
      <c r="C17" t="s">
        <v>38</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v>106.6</v>
      </c>
      <c r="V17" s="1">
        <v>108.5</v>
      </c>
      <c r="W17" s="1">
        <v>107.5</v>
      </c>
      <c r="X17" s="1">
        <v>106.3</v>
      </c>
      <c r="Y17" s="1">
        <v>105</v>
      </c>
      <c r="Z17" s="1">
        <v>105.6</v>
      </c>
      <c r="AA17" s="1">
        <v>106.5</v>
      </c>
      <c r="AB17" s="1">
        <v>102.5</v>
      </c>
      <c r="AC17" s="1">
        <v>105.5</v>
      </c>
      <c r="AD17" s="1">
        <v>108.9</v>
      </c>
    </row>
    <row r="18" spans="1:30">
      <c r="A18" t="s">
        <v>32</v>
      </c>
      <c r="B18">
        <v>2013</v>
      </c>
      <c r="C18" t="s">
        <v>38</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c r="A19" t="s">
        <v>33</v>
      </c>
      <c r="B19">
        <v>2013</v>
      </c>
      <c r="C19" t="s">
        <v>38</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c r="A20" t="s">
        <v>30</v>
      </c>
      <c r="B20">
        <v>2013</v>
      </c>
      <c r="C20" t="s">
        <v>39</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v>107.7</v>
      </c>
      <c r="V20" s="1">
        <v>109.5</v>
      </c>
      <c r="W20" s="1">
        <v>108.3</v>
      </c>
      <c r="X20" s="1">
        <v>106.9</v>
      </c>
      <c r="Y20" s="1">
        <v>106.8</v>
      </c>
      <c r="Z20" s="1">
        <v>106.4</v>
      </c>
      <c r="AA20" s="1">
        <v>107.8</v>
      </c>
      <c r="AB20" s="1">
        <v>102.5</v>
      </c>
      <c r="AC20" s="1">
        <v>106.5</v>
      </c>
      <c r="AD20" s="1">
        <v>110.7</v>
      </c>
    </row>
    <row r="21" spans="1:30">
      <c r="A21" t="s">
        <v>32</v>
      </c>
      <c r="B21">
        <v>2013</v>
      </c>
      <c r="C21" t="s">
        <v>39</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c r="A22" t="s">
        <v>33</v>
      </c>
      <c r="B22">
        <v>2013</v>
      </c>
      <c r="C22" t="s">
        <v>39</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c r="A23" t="s">
        <v>30</v>
      </c>
      <c r="B23">
        <v>2013</v>
      </c>
      <c r="C23" t="s">
        <v>40</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v>108.9</v>
      </c>
      <c r="V23" s="1">
        <v>109.9</v>
      </c>
      <c r="W23" s="1">
        <v>108.7</v>
      </c>
      <c r="X23" s="1">
        <v>107.5</v>
      </c>
      <c r="Y23" s="1">
        <v>107.8</v>
      </c>
      <c r="Z23" s="1">
        <v>106.8</v>
      </c>
      <c r="AA23" s="1">
        <v>108.7</v>
      </c>
      <c r="AB23" s="1">
        <v>105</v>
      </c>
      <c r="AC23" s="1">
        <v>107.5</v>
      </c>
      <c r="AD23" s="1">
        <v>112.1</v>
      </c>
    </row>
    <row r="24" spans="1:30">
      <c r="A24" t="s">
        <v>32</v>
      </c>
      <c r="B24">
        <v>2013</v>
      </c>
      <c r="C24" t="s">
        <v>40</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c r="A25" t="s">
        <v>33</v>
      </c>
      <c r="B25">
        <v>2013</v>
      </c>
      <c r="C25" t="s">
        <v>40</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c r="A26" t="s">
        <v>30</v>
      </c>
      <c r="B26">
        <v>2013</v>
      </c>
      <c r="C26" t="s">
        <v>41</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v>109.7</v>
      </c>
      <c r="V26" s="1">
        <v>111.1</v>
      </c>
      <c r="W26" s="1">
        <v>109.6</v>
      </c>
      <c r="X26" s="1">
        <v>108.3</v>
      </c>
      <c r="Y26" s="1">
        <v>109.3</v>
      </c>
      <c r="Z26" s="1">
        <v>107.7</v>
      </c>
      <c r="AA26" s="1">
        <v>109.8</v>
      </c>
      <c r="AB26" s="1">
        <v>106.7</v>
      </c>
      <c r="AC26" s="1">
        <v>108.7</v>
      </c>
      <c r="AD26" s="1">
        <v>114.2</v>
      </c>
    </row>
    <row r="27" spans="1:30">
      <c r="A27" t="s">
        <v>32</v>
      </c>
      <c r="B27">
        <v>2013</v>
      </c>
      <c r="C27" t="s">
        <v>41</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c r="A28" t="s">
        <v>33</v>
      </c>
      <c r="B28">
        <v>2013</v>
      </c>
      <c r="C28" t="s">
        <v>41</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c r="A29" t="s">
        <v>30</v>
      </c>
      <c r="B29">
        <v>2013</v>
      </c>
      <c r="C29" t="s">
        <v>42</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v>110.5</v>
      </c>
      <c r="V29" s="1">
        <v>111.6</v>
      </c>
      <c r="W29" s="1">
        <v>110.4</v>
      </c>
      <c r="X29" s="1">
        <v>108.9</v>
      </c>
      <c r="Y29" s="1">
        <v>109.3</v>
      </c>
      <c r="Z29" s="1">
        <v>108.3</v>
      </c>
      <c r="AA29" s="1">
        <v>110.2</v>
      </c>
      <c r="AB29" s="1">
        <v>107.5</v>
      </c>
      <c r="AC29" s="1">
        <v>109.1</v>
      </c>
      <c r="AD29" s="1">
        <v>115.5</v>
      </c>
    </row>
    <row r="30" spans="1:30">
      <c r="A30" t="s">
        <v>32</v>
      </c>
      <c r="B30">
        <v>2013</v>
      </c>
      <c r="C30" t="s">
        <v>42</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c r="A31" t="s">
        <v>33</v>
      </c>
      <c r="B31">
        <v>2013</v>
      </c>
      <c r="C31" t="s">
        <v>42</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c r="A32" t="s">
        <v>30</v>
      </c>
      <c r="B32">
        <v>2013</v>
      </c>
      <c r="C32" t="s">
        <v>43</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v>111.1</v>
      </c>
      <c r="V32" s="1">
        <v>112.6</v>
      </c>
      <c r="W32" s="1">
        <v>111.3</v>
      </c>
      <c r="X32" s="1">
        <v>109.7</v>
      </c>
      <c r="Y32" s="1">
        <v>109.6</v>
      </c>
      <c r="Z32" s="1">
        <v>108.7</v>
      </c>
      <c r="AA32" s="1">
        <v>111</v>
      </c>
      <c r="AB32" s="1">
        <v>108.2</v>
      </c>
      <c r="AC32" s="1">
        <v>109.8</v>
      </c>
      <c r="AD32" s="1">
        <v>117.4</v>
      </c>
    </row>
    <row r="33" spans="1:30">
      <c r="A33" t="s">
        <v>32</v>
      </c>
      <c r="B33">
        <v>2013</v>
      </c>
      <c r="C33"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c r="A34" t="s">
        <v>33</v>
      </c>
      <c r="B34">
        <v>2013</v>
      </c>
      <c r="C34"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c r="A35" t="s">
        <v>30</v>
      </c>
      <c r="B35">
        <v>2013</v>
      </c>
      <c r="C35"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v>110.7</v>
      </c>
      <c r="V35" s="1">
        <v>112.8</v>
      </c>
      <c r="W35" s="1">
        <v>112.1</v>
      </c>
      <c r="X35" s="1">
        <v>110.1</v>
      </c>
      <c r="Y35" s="1">
        <v>109.9</v>
      </c>
      <c r="Z35" s="1">
        <v>109.2</v>
      </c>
      <c r="AA35" s="1">
        <v>111.6</v>
      </c>
      <c r="AB35" s="1">
        <v>108.1</v>
      </c>
      <c r="AC35" s="1">
        <v>110.1</v>
      </c>
      <c r="AD35" s="1">
        <v>115.5</v>
      </c>
    </row>
    <row r="36" spans="1:30">
      <c r="A36" t="s">
        <v>32</v>
      </c>
      <c r="B36">
        <v>2013</v>
      </c>
      <c r="C36"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c r="A37" t="s">
        <v>33</v>
      </c>
      <c r="B37">
        <v>2013</v>
      </c>
      <c r="C37"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c r="A38" t="s">
        <v>30</v>
      </c>
      <c r="B38">
        <v>2014</v>
      </c>
      <c r="C38"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v>111.6</v>
      </c>
      <c r="V38" s="1">
        <v>113</v>
      </c>
      <c r="W38" s="1">
        <v>112.6</v>
      </c>
      <c r="X38" s="1">
        <v>110.6</v>
      </c>
      <c r="Y38" s="1">
        <v>110.5</v>
      </c>
      <c r="Z38" s="1">
        <v>109.6</v>
      </c>
      <c r="AA38" s="1">
        <v>111.8</v>
      </c>
      <c r="AB38" s="1">
        <v>108.3</v>
      </c>
      <c r="AC38" s="1">
        <v>110.6</v>
      </c>
      <c r="AD38" s="1">
        <v>114.2</v>
      </c>
    </row>
    <row r="39" spans="1:30">
      <c r="A39" t="s">
        <v>32</v>
      </c>
      <c r="B39">
        <v>2014</v>
      </c>
      <c r="C39"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c r="A40" t="s">
        <v>33</v>
      </c>
      <c r="B40">
        <v>2014</v>
      </c>
      <c r="C40"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c r="A41" t="s">
        <v>30</v>
      </c>
      <c r="B41">
        <v>2014</v>
      </c>
      <c r="C41" t="s">
        <v>34</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v>112.5</v>
      </c>
      <c r="V41" s="1">
        <v>113.2</v>
      </c>
      <c r="W41" s="1">
        <v>112.9</v>
      </c>
      <c r="X41" s="1">
        <v>110.9</v>
      </c>
      <c r="Y41" s="1">
        <v>110.8</v>
      </c>
      <c r="Z41" s="1">
        <v>109.9</v>
      </c>
      <c r="AA41" s="1">
        <v>112</v>
      </c>
      <c r="AB41" s="1">
        <v>108.7</v>
      </c>
      <c r="AC41" s="1">
        <v>110.9</v>
      </c>
      <c r="AD41" s="1">
        <v>114</v>
      </c>
    </row>
    <row r="42" spans="1:30">
      <c r="A42" t="s">
        <v>32</v>
      </c>
      <c r="B42">
        <v>2014</v>
      </c>
      <c r="C42" t="s">
        <v>34</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c r="A43" t="s">
        <v>33</v>
      </c>
      <c r="B43">
        <v>2014</v>
      </c>
      <c r="C43" t="s">
        <v>34</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c r="A44" t="s">
        <v>30</v>
      </c>
      <c r="B44">
        <v>2014</v>
      </c>
      <c r="C44" t="s">
        <v>35</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v>113.2</v>
      </c>
      <c r="V44" s="1">
        <v>113.4</v>
      </c>
      <c r="W44" s="1">
        <v>113.4</v>
      </c>
      <c r="X44" s="1">
        <v>111.4</v>
      </c>
      <c r="Y44" s="1">
        <v>111.2</v>
      </c>
      <c r="Z44" s="1">
        <v>110.2</v>
      </c>
      <c r="AA44" s="1">
        <v>112.4</v>
      </c>
      <c r="AB44" s="1">
        <v>108.9</v>
      </c>
      <c r="AC44" s="1">
        <v>111.3</v>
      </c>
      <c r="AD44" s="1">
        <v>114.6</v>
      </c>
    </row>
    <row r="45" spans="1:30">
      <c r="A45" t="s">
        <v>32</v>
      </c>
      <c r="B45">
        <v>2014</v>
      </c>
      <c r="C45" t="s">
        <v>35</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c r="A46" t="s">
        <v>33</v>
      </c>
      <c r="B46">
        <v>2014</v>
      </c>
      <c r="C46" t="s">
        <v>35</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c r="A47" t="s">
        <v>30</v>
      </c>
      <c r="B47">
        <v>2014</v>
      </c>
      <c r="C47" t="s">
        <v>36</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v>113.9</v>
      </c>
      <c r="V47" s="1">
        <v>113.4</v>
      </c>
      <c r="W47" s="1">
        <v>113.7</v>
      </c>
      <c r="X47" s="1">
        <v>111.8</v>
      </c>
      <c r="Y47" s="1">
        <v>111.2</v>
      </c>
      <c r="Z47" s="1">
        <v>110.5</v>
      </c>
      <c r="AA47" s="1">
        <v>113</v>
      </c>
      <c r="AB47" s="1">
        <v>108.9</v>
      </c>
      <c r="AC47" s="1">
        <v>111.5</v>
      </c>
      <c r="AD47" s="1">
        <v>115.4</v>
      </c>
    </row>
    <row r="48" spans="1:30">
      <c r="A48" t="s">
        <v>32</v>
      </c>
      <c r="B48">
        <v>2014</v>
      </c>
      <c r="C48" t="s">
        <v>36</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c r="A49" t="s">
        <v>33</v>
      </c>
      <c r="B49">
        <v>2014</v>
      </c>
      <c r="C49" t="s">
        <v>36</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c r="A50" t="s">
        <v>30</v>
      </c>
      <c r="B50">
        <v>2014</v>
      </c>
      <c r="C50" t="s">
        <v>37</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v>114.3</v>
      </c>
      <c r="V50" s="1">
        <v>113.4</v>
      </c>
      <c r="W50" s="1">
        <v>114.1</v>
      </c>
      <c r="X50" s="1">
        <v>112.1</v>
      </c>
      <c r="Y50" s="1">
        <v>111.4</v>
      </c>
      <c r="Z50" s="1">
        <v>110.9</v>
      </c>
      <c r="AA50" s="1">
        <v>113.1</v>
      </c>
      <c r="AB50" s="1">
        <v>108.9</v>
      </c>
      <c r="AC50" s="1">
        <v>111.8</v>
      </c>
      <c r="AD50" s="1">
        <v>116</v>
      </c>
    </row>
    <row r="51" spans="1:30">
      <c r="A51" t="s">
        <v>32</v>
      </c>
      <c r="B51">
        <v>2014</v>
      </c>
      <c r="C51" t="s">
        <v>37</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c r="A52" t="s">
        <v>33</v>
      </c>
      <c r="B52">
        <v>2014</v>
      </c>
      <c r="C52" t="s">
        <v>37</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c r="A53" t="s">
        <v>30</v>
      </c>
      <c r="B53">
        <v>2014</v>
      </c>
      <c r="C53" t="s">
        <v>38</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v>113.9</v>
      </c>
      <c r="V53" s="1">
        <v>114.4</v>
      </c>
      <c r="W53" s="1">
        <v>114.9</v>
      </c>
      <c r="X53" s="1">
        <v>112.8</v>
      </c>
      <c r="Y53" s="1">
        <v>112.2</v>
      </c>
      <c r="Z53" s="1">
        <v>111.4</v>
      </c>
      <c r="AA53" s="1">
        <v>114.3</v>
      </c>
      <c r="AB53" s="1">
        <v>108</v>
      </c>
      <c r="AC53" s="1">
        <v>112.3</v>
      </c>
      <c r="AD53" s="1">
        <v>117</v>
      </c>
    </row>
    <row r="54" spans="1:30">
      <c r="A54" t="s">
        <v>32</v>
      </c>
      <c r="B54">
        <v>2014</v>
      </c>
      <c r="C54" t="s">
        <v>38</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c r="A55" t="s">
        <v>33</v>
      </c>
      <c r="B55">
        <v>2014</v>
      </c>
      <c r="C55" t="s">
        <v>38</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c r="A56" t="s">
        <v>30</v>
      </c>
      <c r="B56">
        <v>2014</v>
      </c>
      <c r="C56" t="s">
        <v>39</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v>114.8</v>
      </c>
      <c r="V56" s="1">
        <v>115.3</v>
      </c>
      <c r="W56" s="1">
        <v>115.4</v>
      </c>
      <c r="X56" s="1">
        <v>113.4</v>
      </c>
      <c r="Y56" s="1">
        <v>113.2</v>
      </c>
      <c r="Z56" s="1">
        <v>111.8</v>
      </c>
      <c r="AA56" s="1">
        <v>115.5</v>
      </c>
      <c r="AB56" s="1">
        <v>108.8</v>
      </c>
      <c r="AC56" s="1">
        <v>113.1</v>
      </c>
      <c r="AD56" s="1">
        <v>119.5</v>
      </c>
    </row>
    <row r="57" spans="1:30">
      <c r="A57" t="s">
        <v>32</v>
      </c>
      <c r="B57">
        <v>2014</v>
      </c>
      <c r="C57" t="s">
        <v>39</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c r="A58" t="s">
        <v>33</v>
      </c>
      <c r="B58">
        <v>2014</v>
      </c>
      <c r="C58" t="s">
        <v>39</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c r="A59" t="s">
        <v>30</v>
      </c>
      <c r="B59">
        <v>2014</v>
      </c>
      <c r="C59" t="s">
        <v>40</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v>115.5</v>
      </c>
      <c r="V59" s="1">
        <v>115.4</v>
      </c>
      <c r="W59" s="1">
        <v>115.9</v>
      </c>
      <c r="X59" s="1">
        <v>114</v>
      </c>
      <c r="Y59" s="1">
        <v>113.2</v>
      </c>
      <c r="Z59" s="1">
        <v>112.2</v>
      </c>
      <c r="AA59" s="1">
        <v>116.2</v>
      </c>
      <c r="AB59" s="1">
        <v>109.4</v>
      </c>
      <c r="AC59" s="1">
        <v>113.5</v>
      </c>
      <c r="AD59" s="1">
        <v>120.7</v>
      </c>
    </row>
    <row r="60" spans="1:30">
      <c r="A60" t="s">
        <v>32</v>
      </c>
      <c r="B60">
        <v>2014</v>
      </c>
      <c r="C60" t="s">
        <v>40</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c r="A61" t="s">
        <v>33</v>
      </c>
      <c r="B61">
        <v>2014</v>
      </c>
      <c r="C61" t="s">
        <v>40</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c r="A62" t="s">
        <v>30</v>
      </c>
      <c r="B62">
        <v>2014</v>
      </c>
      <c r="C62" t="s">
        <v>41</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v>116.1</v>
      </c>
      <c r="V62" s="1">
        <v>115.8</v>
      </c>
      <c r="W62" s="1">
        <v>116.7</v>
      </c>
      <c r="X62" s="1">
        <v>114.5</v>
      </c>
      <c r="Y62" s="1">
        <v>112.8</v>
      </c>
      <c r="Z62" s="1">
        <v>112.6</v>
      </c>
      <c r="AA62" s="1">
        <v>116.6</v>
      </c>
      <c r="AB62" s="1">
        <v>109.1</v>
      </c>
      <c r="AC62" s="1">
        <v>113.7</v>
      </c>
      <c r="AD62" s="1">
        <v>120.9</v>
      </c>
    </row>
    <row r="63" spans="1:30">
      <c r="A63" t="s">
        <v>32</v>
      </c>
      <c r="B63">
        <v>2014</v>
      </c>
      <c r="C63" t="s">
        <v>41</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c r="A64" t="s">
        <v>33</v>
      </c>
      <c r="B64">
        <v>2014</v>
      </c>
      <c r="C64" t="s">
        <v>41</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c r="A65" t="s">
        <v>30</v>
      </c>
      <c r="B65">
        <v>2014</v>
      </c>
      <c r="C65" t="s">
        <v>42</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v>116.7</v>
      </c>
      <c r="V65" s="1">
        <v>116.4</v>
      </c>
      <c r="W65" s="1">
        <v>117.5</v>
      </c>
      <c r="X65" s="1">
        <v>115.3</v>
      </c>
      <c r="Y65" s="1">
        <v>112.6</v>
      </c>
      <c r="Z65" s="1">
        <v>113</v>
      </c>
      <c r="AA65" s="1">
        <v>116.9</v>
      </c>
      <c r="AB65" s="1">
        <v>109.3</v>
      </c>
      <c r="AC65" s="1">
        <v>114</v>
      </c>
      <c r="AD65" s="1">
        <v>121</v>
      </c>
    </row>
    <row r="66" spans="1:30">
      <c r="A66" t="s">
        <v>32</v>
      </c>
      <c r="B66">
        <v>2014</v>
      </c>
      <c r="C66" t="s">
        <v>42</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c r="A67" t="s">
        <v>33</v>
      </c>
      <c r="B67">
        <v>2014</v>
      </c>
      <c r="C67" t="s">
        <v>42</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c r="A68" t="s">
        <v>30</v>
      </c>
      <c r="B68">
        <v>2014</v>
      </c>
      <c r="C68"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v>117.1</v>
      </c>
      <c r="V68" s="1">
        <v>117.3</v>
      </c>
      <c r="W68" s="1">
        <v>118.1</v>
      </c>
      <c r="X68" s="1">
        <v>115.9</v>
      </c>
      <c r="Y68" s="1">
        <v>112</v>
      </c>
      <c r="Z68" s="1">
        <v>113.3</v>
      </c>
      <c r="AA68" s="1">
        <v>117.2</v>
      </c>
      <c r="AB68" s="1">
        <v>108.8</v>
      </c>
      <c r="AC68" s="1">
        <v>114.1</v>
      </c>
      <c r="AD68" s="1">
        <v>121.1</v>
      </c>
    </row>
    <row r="69" spans="1:30">
      <c r="A69" t="s">
        <v>32</v>
      </c>
      <c r="B69">
        <v>2014</v>
      </c>
      <c r="C69"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c r="A70" t="s">
        <v>33</v>
      </c>
      <c r="B70">
        <v>2014</v>
      </c>
      <c r="C70"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c r="A71" t="s">
        <v>30</v>
      </c>
      <c r="B71">
        <v>2014</v>
      </c>
      <c r="C7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v>116.5</v>
      </c>
      <c r="V71" s="1">
        <v>117.4</v>
      </c>
      <c r="W71" s="1">
        <v>118.2</v>
      </c>
      <c r="X71" s="1">
        <v>116.2</v>
      </c>
      <c r="Y71" s="1">
        <v>111.5</v>
      </c>
      <c r="Z71" s="1">
        <v>113.3</v>
      </c>
      <c r="AA71" s="1">
        <v>117.7</v>
      </c>
      <c r="AB71" s="1">
        <v>109.4</v>
      </c>
      <c r="AC71" s="1">
        <v>114.2</v>
      </c>
      <c r="AD71" s="1">
        <v>120.3</v>
      </c>
    </row>
    <row r="72" spans="1:30">
      <c r="A72" t="s">
        <v>32</v>
      </c>
      <c r="B72">
        <v>2014</v>
      </c>
      <c r="C72"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c r="A73" t="s">
        <v>33</v>
      </c>
      <c r="B73">
        <v>2014</v>
      </c>
      <c r="C73"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c r="A74" t="s">
        <v>30</v>
      </c>
      <c r="B74">
        <v>2015</v>
      </c>
      <c r="C74"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v>117.3</v>
      </c>
      <c r="V74" s="1">
        <v>118.4</v>
      </c>
      <c r="W74" s="1">
        <v>118.9</v>
      </c>
      <c r="X74" s="1">
        <v>116.6</v>
      </c>
      <c r="Y74" s="1">
        <v>111</v>
      </c>
      <c r="Z74" s="1">
        <v>114</v>
      </c>
      <c r="AA74" s="1">
        <v>118.2</v>
      </c>
      <c r="AB74" s="1">
        <v>110.2</v>
      </c>
      <c r="AC74" s="1">
        <v>114.5</v>
      </c>
      <c r="AD74" s="1">
        <v>120.3</v>
      </c>
    </row>
    <row r="75" spans="1:30">
      <c r="A75" t="s">
        <v>32</v>
      </c>
      <c r="B75">
        <v>2015</v>
      </c>
      <c r="C75"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c r="A76" t="s">
        <v>33</v>
      </c>
      <c r="B76">
        <v>2015</v>
      </c>
      <c r="C76"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c r="A77" t="s">
        <v>30</v>
      </c>
      <c r="B77">
        <v>2015</v>
      </c>
      <c r="C77" t="s">
        <v>34</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v>118.1</v>
      </c>
      <c r="V77" s="1">
        <v>120</v>
      </c>
      <c r="W77" s="1">
        <v>119.6</v>
      </c>
      <c r="X77" s="1">
        <v>117.7</v>
      </c>
      <c r="Y77" s="1">
        <v>110.9</v>
      </c>
      <c r="Z77" s="1">
        <v>114.8</v>
      </c>
      <c r="AA77" s="1">
        <v>118.7</v>
      </c>
      <c r="AB77" s="1">
        <v>110.8</v>
      </c>
      <c r="AC77" s="1">
        <v>115</v>
      </c>
      <c r="AD77" s="1">
        <v>120.6</v>
      </c>
    </row>
    <row r="78" spans="1:30">
      <c r="A78" t="s">
        <v>32</v>
      </c>
      <c r="B78">
        <v>2015</v>
      </c>
      <c r="C78" t="s">
        <v>34</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c r="A79" t="s">
        <v>33</v>
      </c>
      <c r="B79">
        <v>2015</v>
      </c>
      <c r="C79" t="s">
        <v>34</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c r="A80" t="s">
        <v>30</v>
      </c>
      <c r="B80">
        <v>2015</v>
      </c>
      <c r="C80" t="s">
        <v>35</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v>118.6</v>
      </c>
      <c r="V80" s="1">
        <v>120.6</v>
      </c>
      <c r="W80" s="1">
        <v>120.2</v>
      </c>
      <c r="X80" s="1">
        <v>118.2</v>
      </c>
      <c r="Y80" s="1">
        <v>111.6</v>
      </c>
      <c r="Z80" s="1">
        <v>115.5</v>
      </c>
      <c r="AA80" s="1">
        <v>119.4</v>
      </c>
      <c r="AB80" s="1">
        <v>110.8</v>
      </c>
      <c r="AC80" s="1">
        <v>115.5</v>
      </c>
      <c r="AD80" s="1">
        <v>121.1</v>
      </c>
    </row>
    <row r="81" spans="1:30">
      <c r="A81" t="s">
        <v>32</v>
      </c>
      <c r="B81">
        <v>2015</v>
      </c>
      <c r="C81" t="s">
        <v>35</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c r="A82" t="s">
        <v>33</v>
      </c>
      <c r="B82">
        <v>2015</v>
      </c>
      <c r="C82" t="s">
        <v>35</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c r="A83" t="s">
        <v>30</v>
      </c>
      <c r="B83">
        <v>2015</v>
      </c>
      <c r="C83" t="s">
        <v>36</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v>119.2</v>
      </c>
      <c r="V83" s="1">
        <v>121.2</v>
      </c>
      <c r="W83" s="1">
        <v>120.9</v>
      </c>
      <c r="X83" s="1">
        <v>118.6</v>
      </c>
      <c r="Y83" s="1">
        <v>111.9</v>
      </c>
      <c r="Z83" s="1">
        <v>116.2</v>
      </c>
      <c r="AA83" s="1">
        <v>119.9</v>
      </c>
      <c r="AB83" s="1">
        <v>111.6</v>
      </c>
      <c r="AC83" s="1">
        <v>116</v>
      </c>
      <c r="AD83" s="1">
        <v>121.5</v>
      </c>
    </row>
    <row r="84" spans="1:30">
      <c r="A84" t="s">
        <v>32</v>
      </c>
      <c r="B84">
        <v>2015</v>
      </c>
      <c r="C84" t="s">
        <v>36</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c r="A85" t="s">
        <v>33</v>
      </c>
      <c r="B85">
        <v>2015</v>
      </c>
      <c r="C85" t="s">
        <v>36</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c r="A86" t="s">
        <v>30</v>
      </c>
      <c r="B86">
        <v>2015</v>
      </c>
      <c r="C86" t="s">
        <v>37</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v>119.6</v>
      </c>
      <c r="V86" s="1">
        <v>121.9</v>
      </c>
      <c r="W86" s="1">
        <v>121.5</v>
      </c>
      <c r="X86" s="1">
        <v>119.4</v>
      </c>
      <c r="Y86" s="1">
        <v>113.3</v>
      </c>
      <c r="Z86" s="1">
        <v>116.7</v>
      </c>
      <c r="AA86" s="1">
        <v>120.5</v>
      </c>
      <c r="AB86" s="1">
        <v>112.3</v>
      </c>
      <c r="AC86" s="1">
        <v>116.9</v>
      </c>
      <c r="AD86" s="1">
        <v>122.4</v>
      </c>
    </row>
    <row r="87" spans="1:30">
      <c r="A87" t="s">
        <v>32</v>
      </c>
      <c r="B87">
        <v>2015</v>
      </c>
      <c r="C87" t="s">
        <v>37</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c r="A88" t="s">
        <v>33</v>
      </c>
      <c r="B88">
        <v>2015</v>
      </c>
      <c r="C88" t="s">
        <v>37</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c r="A89" t="s">
        <v>30</v>
      </c>
      <c r="B89">
        <v>2015</v>
      </c>
      <c r="C89" t="s">
        <v>38</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v>119</v>
      </c>
      <c r="V89" s="1">
        <v>122.6</v>
      </c>
      <c r="W89" s="1">
        <v>122.8</v>
      </c>
      <c r="X89" s="1">
        <v>120.4</v>
      </c>
      <c r="Y89" s="1">
        <v>114.2</v>
      </c>
      <c r="Z89" s="1">
        <v>117.9</v>
      </c>
      <c r="AA89" s="1">
        <v>122</v>
      </c>
      <c r="AB89" s="1">
        <v>113</v>
      </c>
      <c r="AC89" s="1">
        <v>117.9</v>
      </c>
      <c r="AD89" s="1">
        <v>124.1</v>
      </c>
    </row>
    <row r="90" spans="1:30">
      <c r="A90" t="s">
        <v>32</v>
      </c>
      <c r="B90">
        <v>2015</v>
      </c>
      <c r="C90" t="s">
        <v>38</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c r="A91" t="s">
        <v>33</v>
      </c>
      <c r="B91">
        <v>2015</v>
      </c>
      <c r="C91" t="s">
        <v>38</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c r="A92" t="s">
        <v>30</v>
      </c>
      <c r="B92">
        <v>2015</v>
      </c>
      <c r="C92" t="s">
        <v>39</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v>119.9</v>
      </c>
      <c r="V92" s="1">
        <v>123</v>
      </c>
      <c r="W92" s="1">
        <v>123</v>
      </c>
      <c r="X92" s="1">
        <v>120.8</v>
      </c>
      <c r="Y92" s="1">
        <v>114.1</v>
      </c>
      <c r="Z92" s="1">
        <v>118</v>
      </c>
      <c r="AA92" s="1">
        <v>122.9</v>
      </c>
      <c r="AB92" s="1">
        <v>112.7</v>
      </c>
      <c r="AC92" s="1">
        <v>118.1</v>
      </c>
      <c r="AD92" s="1">
        <v>124.7</v>
      </c>
    </row>
    <row r="93" spans="1:30">
      <c r="A93" t="s">
        <v>32</v>
      </c>
      <c r="B93">
        <v>2015</v>
      </c>
      <c r="C93" t="s">
        <v>39</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c r="A94" t="s">
        <v>33</v>
      </c>
      <c r="B94">
        <v>2015</v>
      </c>
      <c r="C94" t="s">
        <v>39</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c r="A95" t="s">
        <v>30</v>
      </c>
      <c r="B95">
        <v>2015</v>
      </c>
      <c r="C95" t="s">
        <v>40</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v>120.9</v>
      </c>
      <c r="V95" s="1">
        <v>123.8</v>
      </c>
      <c r="W95" s="1">
        <v>123.7</v>
      </c>
      <c r="X95" s="1">
        <v>121.1</v>
      </c>
      <c r="Y95" s="1">
        <v>113.6</v>
      </c>
      <c r="Z95" s="1">
        <v>118.5</v>
      </c>
      <c r="AA95" s="1">
        <v>123.6</v>
      </c>
      <c r="AB95" s="1">
        <v>112.5</v>
      </c>
      <c r="AC95" s="1">
        <v>118.2</v>
      </c>
      <c r="AD95" s="1">
        <v>126.1</v>
      </c>
    </row>
    <row r="96" spans="1:30">
      <c r="A96" t="s">
        <v>32</v>
      </c>
      <c r="B96">
        <v>2015</v>
      </c>
      <c r="C96" t="s">
        <v>40</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c r="A97" t="s">
        <v>33</v>
      </c>
      <c r="B97">
        <v>2015</v>
      </c>
      <c r="C97" t="s">
        <v>40</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c r="A98" t="s">
        <v>30</v>
      </c>
      <c r="B98">
        <v>2015</v>
      </c>
      <c r="C98" t="s">
        <v>41</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v>121.6</v>
      </c>
      <c r="V98" s="1">
        <v>123.7</v>
      </c>
      <c r="W98" s="1">
        <v>124.5</v>
      </c>
      <c r="X98" s="1">
        <v>121.4</v>
      </c>
      <c r="Y98" s="1">
        <v>113.8</v>
      </c>
      <c r="Z98" s="1">
        <v>119.6</v>
      </c>
      <c r="AA98" s="1">
        <v>124.5</v>
      </c>
      <c r="AB98" s="1">
        <v>113.7</v>
      </c>
      <c r="AC98" s="1">
        <v>118.8</v>
      </c>
      <c r="AD98" s="1">
        <v>127</v>
      </c>
    </row>
    <row r="99" spans="1:30">
      <c r="A99" t="s">
        <v>32</v>
      </c>
      <c r="B99">
        <v>2015</v>
      </c>
      <c r="C99" t="s">
        <v>41</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c r="A100" t="s">
        <v>33</v>
      </c>
      <c r="B100">
        <v>2015</v>
      </c>
      <c r="C100" t="s">
        <v>41</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c r="A101" t="s">
        <v>30</v>
      </c>
      <c r="B101">
        <v>2015</v>
      </c>
      <c r="C101" t="s">
        <v>42</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v>122.4</v>
      </c>
      <c r="V101" s="1">
        <v>124.4</v>
      </c>
      <c r="W101" s="1">
        <v>125.1</v>
      </c>
      <c r="X101" s="1">
        <v>122</v>
      </c>
      <c r="Y101" s="1">
        <v>113.8</v>
      </c>
      <c r="Z101" s="1">
        <v>120.1</v>
      </c>
      <c r="AA101" s="1">
        <v>125.1</v>
      </c>
      <c r="AB101" s="1">
        <v>114.2</v>
      </c>
      <c r="AC101" s="1">
        <v>119.2</v>
      </c>
      <c r="AD101" s="1">
        <v>127.7</v>
      </c>
    </row>
    <row r="102" spans="1:30">
      <c r="A102" t="s">
        <v>32</v>
      </c>
      <c r="B102">
        <v>2015</v>
      </c>
      <c r="C102" t="s">
        <v>42</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c r="A103" t="s">
        <v>33</v>
      </c>
      <c r="B103">
        <v>2015</v>
      </c>
      <c r="C103" t="s">
        <v>42</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c r="A104" t="s">
        <v>30</v>
      </c>
      <c r="B104">
        <v>2015</v>
      </c>
      <c r="C104"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v>122.9</v>
      </c>
      <c r="V104" s="1">
        <v>125.6</v>
      </c>
      <c r="W104" s="1">
        <v>125.6</v>
      </c>
      <c r="X104" s="1">
        <v>122.6</v>
      </c>
      <c r="Y104" s="1">
        <v>114</v>
      </c>
      <c r="Z104" s="1">
        <v>120.9</v>
      </c>
      <c r="AA104" s="1">
        <v>125.8</v>
      </c>
      <c r="AB104" s="1">
        <v>114.2</v>
      </c>
      <c r="AC104" s="1">
        <v>119.6</v>
      </c>
      <c r="AD104" s="1">
        <v>128.30000000000001</v>
      </c>
    </row>
    <row r="105" spans="1:30">
      <c r="A105" t="s">
        <v>32</v>
      </c>
      <c r="B105">
        <v>2015</v>
      </c>
      <c r="C105"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c r="A106" t="s">
        <v>33</v>
      </c>
      <c r="B106">
        <v>2015</v>
      </c>
      <c r="C106"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c r="A107" t="s">
        <v>30</v>
      </c>
      <c r="B107">
        <v>2015</v>
      </c>
      <c r="C107"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v>122.4</v>
      </c>
      <c r="V107" s="1">
        <v>125.7</v>
      </c>
      <c r="W107" s="1">
        <v>126</v>
      </c>
      <c r="X107" s="1">
        <v>123.1</v>
      </c>
      <c r="Y107" s="1">
        <v>114</v>
      </c>
      <c r="Z107" s="1">
        <v>121.6</v>
      </c>
      <c r="AA107" s="1">
        <v>125.6</v>
      </c>
      <c r="AB107" s="1">
        <v>114.1</v>
      </c>
      <c r="AC107" s="1">
        <v>119.8</v>
      </c>
      <c r="AD107" s="1">
        <v>127.9</v>
      </c>
    </row>
    <row r="108" spans="1:30">
      <c r="A108" t="s">
        <v>32</v>
      </c>
      <c r="B108">
        <v>2015</v>
      </c>
      <c r="C108"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c r="A109" t="s">
        <v>33</v>
      </c>
      <c r="B109">
        <v>2015</v>
      </c>
      <c r="C109"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c r="A110" t="s">
        <v>30</v>
      </c>
      <c r="B110">
        <v>2016</v>
      </c>
      <c r="C110"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v>123.4</v>
      </c>
      <c r="V110" s="1">
        <v>126.2</v>
      </c>
      <c r="W110" s="1">
        <v>126.6</v>
      </c>
      <c r="X110" s="1">
        <v>123.7</v>
      </c>
      <c r="Y110" s="1">
        <v>113.6</v>
      </c>
      <c r="Z110" s="1">
        <v>121.4</v>
      </c>
      <c r="AA110" s="1">
        <v>126.2</v>
      </c>
      <c r="AB110" s="1">
        <v>114.9</v>
      </c>
      <c r="AC110" s="1">
        <v>120.1</v>
      </c>
      <c r="AD110" s="1">
        <v>128.1</v>
      </c>
    </row>
    <row r="111" spans="1:30">
      <c r="A111" t="s">
        <v>32</v>
      </c>
      <c r="B111">
        <v>2016</v>
      </c>
      <c r="C11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c r="A112" t="s">
        <v>33</v>
      </c>
      <c r="B112">
        <v>2016</v>
      </c>
      <c r="C112"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c r="A113" t="s">
        <v>30</v>
      </c>
      <c r="B113">
        <v>2016</v>
      </c>
      <c r="C113" t="s">
        <v>34</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v>124.4</v>
      </c>
      <c r="V113" s="1">
        <v>127.5</v>
      </c>
      <c r="W113" s="1">
        <v>127.1</v>
      </c>
      <c r="X113" s="1">
        <v>124.3</v>
      </c>
      <c r="Y113" s="1">
        <v>113.9</v>
      </c>
      <c r="Z113" s="1">
        <v>122.3</v>
      </c>
      <c r="AA113" s="1">
        <v>127.1</v>
      </c>
      <c r="AB113" s="1">
        <v>116.8</v>
      </c>
      <c r="AC113" s="1">
        <v>120.9</v>
      </c>
      <c r="AD113" s="1">
        <v>127.9</v>
      </c>
    </row>
    <row r="114" spans="1:30">
      <c r="A114" t="s">
        <v>32</v>
      </c>
      <c r="B114">
        <v>2016</v>
      </c>
      <c r="C114" t="s">
        <v>34</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c r="A115" t="s">
        <v>33</v>
      </c>
      <c r="B115">
        <v>2016</v>
      </c>
      <c r="C115" t="s">
        <v>34</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c r="A116" t="s">
        <v>30</v>
      </c>
      <c r="B116">
        <v>2016</v>
      </c>
      <c r="C116" t="s">
        <v>35</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v>124.9</v>
      </c>
      <c r="V116" s="1">
        <v>127</v>
      </c>
      <c r="W116" s="1">
        <v>127.7</v>
      </c>
      <c r="X116" s="1">
        <v>124.8</v>
      </c>
      <c r="Y116" s="1">
        <v>113.6</v>
      </c>
      <c r="Z116" s="1">
        <v>122.5</v>
      </c>
      <c r="AA116" s="1">
        <v>127.5</v>
      </c>
      <c r="AB116" s="1">
        <v>117.4</v>
      </c>
      <c r="AC116" s="1">
        <v>121.1</v>
      </c>
      <c r="AD116" s="1">
        <v>128</v>
      </c>
    </row>
    <row r="117" spans="1:30">
      <c r="A117" t="s">
        <v>32</v>
      </c>
      <c r="B117">
        <v>2016</v>
      </c>
      <c r="C117" t="s">
        <v>35</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c r="A118" t="s">
        <v>33</v>
      </c>
      <c r="B118">
        <v>2016</v>
      </c>
      <c r="C118" t="s">
        <v>35</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c r="A119" t="s">
        <v>30</v>
      </c>
      <c r="B119">
        <v>2016</v>
      </c>
      <c r="C119" t="s">
        <v>36</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v>125.6</v>
      </c>
      <c r="V119" s="1">
        <v>127</v>
      </c>
      <c r="W119" s="1">
        <v>128</v>
      </c>
      <c r="X119" s="1">
        <v>125.2</v>
      </c>
      <c r="Y119" s="1">
        <v>114.4</v>
      </c>
      <c r="Z119" s="1">
        <v>123.2</v>
      </c>
      <c r="AA119" s="1">
        <v>127.9</v>
      </c>
      <c r="AB119" s="1">
        <v>118.4</v>
      </c>
      <c r="AC119" s="1">
        <v>121.7</v>
      </c>
      <c r="AD119" s="1">
        <v>129</v>
      </c>
    </row>
    <row r="120" spans="1:30">
      <c r="A120" t="s">
        <v>32</v>
      </c>
      <c r="B120">
        <v>2016</v>
      </c>
      <c r="C120" t="s">
        <v>36</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c r="A121" t="s">
        <v>33</v>
      </c>
      <c r="B121">
        <v>2016</v>
      </c>
      <c r="C121" t="s">
        <v>36</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c r="A122" t="s">
        <v>30</v>
      </c>
      <c r="B122">
        <v>2016</v>
      </c>
      <c r="C122" t="s">
        <v>37</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v>126</v>
      </c>
      <c r="V122" s="1">
        <v>127.4</v>
      </c>
      <c r="W122" s="1">
        <v>128.5</v>
      </c>
      <c r="X122" s="1">
        <v>125.8</v>
      </c>
      <c r="Y122" s="1">
        <v>115.1</v>
      </c>
      <c r="Z122" s="1">
        <v>123.6</v>
      </c>
      <c r="AA122" s="1">
        <v>129.1</v>
      </c>
      <c r="AB122" s="1">
        <v>119.7</v>
      </c>
      <c r="AC122" s="1">
        <v>122.5</v>
      </c>
      <c r="AD122" s="1">
        <v>130.30000000000001</v>
      </c>
    </row>
    <row r="123" spans="1:30">
      <c r="A123" t="s">
        <v>32</v>
      </c>
      <c r="B123">
        <v>2016</v>
      </c>
      <c r="C123" t="s">
        <v>37</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c r="A124" t="s">
        <v>33</v>
      </c>
      <c r="B124">
        <v>2016</v>
      </c>
      <c r="C124" t="s">
        <v>37</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c r="A125" t="s">
        <v>30</v>
      </c>
      <c r="B125">
        <v>2016</v>
      </c>
      <c r="C125" t="s">
        <v>38</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v>125.5</v>
      </c>
      <c r="V125" s="1">
        <v>128</v>
      </c>
      <c r="W125" s="1">
        <v>129.30000000000001</v>
      </c>
      <c r="X125" s="1">
        <v>126.2</v>
      </c>
      <c r="Y125" s="1">
        <v>116.3</v>
      </c>
      <c r="Z125" s="1">
        <v>124.1</v>
      </c>
      <c r="AA125" s="1">
        <v>130.19999999999999</v>
      </c>
      <c r="AB125" s="1">
        <v>119.9</v>
      </c>
      <c r="AC125" s="1">
        <v>123.3</v>
      </c>
      <c r="AD125" s="1">
        <v>131.9</v>
      </c>
    </row>
    <row r="126" spans="1:30">
      <c r="A126" t="s">
        <v>32</v>
      </c>
      <c r="B126">
        <v>2016</v>
      </c>
      <c r="C126" t="s">
        <v>38</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c r="A127" t="s">
        <v>33</v>
      </c>
      <c r="B127">
        <v>2016</v>
      </c>
      <c r="C127" t="s">
        <v>38</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c r="A128" t="s">
        <v>30</v>
      </c>
      <c r="B128">
        <v>2016</v>
      </c>
      <c r="C128" t="s">
        <v>39</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v>126.4</v>
      </c>
      <c r="V128" s="1">
        <v>128.19999999999999</v>
      </c>
      <c r="W128" s="1">
        <v>130</v>
      </c>
      <c r="X128" s="1">
        <v>126.7</v>
      </c>
      <c r="Y128" s="1">
        <v>116.4</v>
      </c>
      <c r="Z128" s="1">
        <v>125.2</v>
      </c>
      <c r="AA128" s="1">
        <v>130.80000000000001</v>
      </c>
      <c r="AB128" s="1">
        <v>120.9</v>
      </c>
      <c r="AC128" s="1">
        <v>123.8</v>
      </c>
      <c r="AD128" s="1">
        <v>133</v>
      </c>
    </row>
    <row r="129" spans="1:30">
      <c r="A129" t="s">
        <v>32</v>
      </c>
      <c r="B129">
        <v>2016</v>
      </c>
      <c r="C129" t="s">
        <v>39</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c r="A130" t="s">
        <v>33</v>
      </c>
      <c r="B130">
        <v>2016</v>
      </c>
      <c r="C130" t="s">
        <v>39</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c r="A131" t="s">
        <v>30</v>
      </c>
      <c r="B131">
        <v>2016</v>
      </c>
      <c r="C131" t="s">
        <v>40</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v>127.3</v>
      </c>
      <c r="V131" s="1">
        <v>129.1</v>
      </c>
      <c r="W131" s="1">
        <v>130.6</v>
      </c>
      <c r="X131" s="1">
        <v>127</v>
      </c>
      <c r="Y131" s="1">
        <v>116</v>
      </c>
      <c r="Z131" s="1">
        <v>125.5</v>
      </c>
      <c r="AA131" s="1">
        <v>131.9</v>
      </c>
      <c r="AB131" s="1">
        <v>122</v>
      </c>
      <c r="AC131" s="1">
        <v>124.2</v>
      </c>
      <c r="AD131" s="1">
        <v>133.5</v>
      </c>
    </row>
    <row r="132" spans="1:30">
      <c r="A132" t="s">
        <v>32</v>
      </c>
      <c r="B132">
        <v>2016</v>
      </c>
      <c r="C132" t="s">
        <v>40</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c r="A133" t="s">
        <v>33</v>
      </c>
      <c r="B133">
        <v>2016</v>
      </c>
      <c r="C133" t="s">
        <v>40</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c r="A134" t="s">
        <v>30</v>
      </c>
      <c r="B134">
        <v>2016</v>
      </c>
      <c r="C134" t="s">
        <v>41</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v>127.9</v>
      </c>
      <c r="V134" s="1">
        <v>129.69999999999999</v>
      </c>
      <c r="W134" s="1">
        <v>131.1</v>
      </c>
      <c r="X134" s="1">
        <v>127.8</v>
      </c>
      <c r="Y134" s="1">
        <v>117</v>
      </c>
      <c r="Z134" s="1">
        <v>125.7</v>
      </c>
      <c r="AA134" s="1">
        <v>132.19999999999999</v>
      </c>
      <c r="AB134" s="1">
        <v>122.8</v>
      </c>
      <c r="AC134" s="1">
        <v>124.9</v>
      </c>
      <c r="AD134" s="1">
        <v>133.4</v>
      </c>
    </row>
    <row r="135" spans="1:30">
      <c r="A135" t="s">
        <v>32</v>
      </c>
      <c r="B135">
        <v>2016</v>
      </c>
      <c r="C135" t="s">
        <v>41</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c r="A136" t="s">
        <v>33</v>
      </c>
      <c r="B136">
        <v>2016</v>
      </c>
      <c r="C136" t="s">
        <v>41</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c r="A137" t="s">
        <v>30</v>
      </c>
      <c r="B137">
        <v>2016</v>
      </c>
      <c r="C137" t="s">
        <v>42</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v>128.69999999999999</v>
      </c>
      <c r="V137" s="1">
        <v>129.80000000000001</v>
      </c>
      <c r="W137" s="1">
        <v>131.80000000000001</v>
      </c>
      <c r="X137" s="1">
        <v>128.69999999999999</v>
      </c>
      <c r="Y137" s="1">
        <v>117.8</v>
      </c>
      <c r="Z137" s="1">
        <v>126.5</v>
      </c>
      <c r="AA137" s="1">
        <v>133</v>
      </c>
      <c r="AB137" s="1">
        <v>123</v>
      </c>
      <c r="AC137" s="1">
        <v>125.7</v>
      </c>
      <c r="AD137" s="1">
        <v>133.80000000000001</v>
      </c>
    </row>
    <row r="138" spans="1:30">
      <c r="A138" t="s">
        <v>32</v>
      </c>
      <c r="B138">
        <v>2016</v>
      </c>
      <c r="C138" t="s">
        <v>42</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c r="A139" t="s">
        <v>33</v>
      </c>
      <c r="B139">
        <v>2016</v>
      </c>
      <c r="C139" t="s">
        <v>42</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c r="A140" t="s">
        <v>30</v>
      </c>
      <c r="B140">
        <v>2016</v>
      </c>
      <c r="C140"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v>129.1</v>
      </c>
      <c r="V140" s="1">
        <v>130.30000000000001</v>
      </c>
      <c r="W140" s="1">
        <v>132.1</v>
      </c>
      <c r="X140" s="1">
        <v>129.1</v>
      </c>
      <c r="Y140" s="1">
        <v>118.2</v>
      </c>
      <c r="Z140" s="1">
        <v>126.9</v>
      </c>
      <c r="AA140" s="1">
        <v>133.69999999999999</v>
      </c>
      <c r="AB140" s="1">
        <v>123.5</v>
      </c>
      <c r="AC140" s="1">
        <v>126.1</v>
      </c>
      <c r="AD140" s="1">
        <v>133.6</v>
      </c>
    </row>
    <row r="141" spans="1:30">
      <c r="A141" t="s">
        <v>32</v>
      </c>
      <c r="B141">
        <v>2016</v>
      </c>
      <c r="C14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c r="A142" t="s">
        <v>33</v>
      </c>
      <c r="B142">
        <v>2016</v>
      </c>
      <c r="C142"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c r="A143" t="s">
        <v>30</v>
      </c>
      <c r="B143">
        <v>2016</v>
      </c>
      <c r="C143"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v>128.5</v>
      </c>
      <c r="V143" s="1">
        <v>132</v>
      </c>
      <c r="W143" s="1">
        <v>132.9</v>
      </c>
      <c r="X143" s="1">
        <v>129.69999999999999</v>
      </c>
      <c r="Y143" s="1">
        <v>118.6</v>
      </c>
      <c r="Z143" s="1">
        <v>127.3</v>
      </c>
      <c r="AA143" s="1">
        <v>134.19999999999999</v>
      </c>
      <c r="AB143" s="1">
        <v>121.9</v>
      </c>
      <c r="AC143" s="1">
        <v>126.3</v>
      </c>
      <c r="AD143" s="1">
        <v>132.80000000000001</v>
      </c>
    </row>
    <row r="144" spans="1:30">
      <c r="A144" t="s">
        <v>32</v>
      </c>
      <c r="B144">
        <v>2016</v>
      </c>
      <c r="C144"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c r="A145" t="s">
        <v>33</v>
      </c>
      <c r="B145">
        <v>2016</v>
      </c>
      <c r="C145"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c r="A146" t="s">
        <v>30</v>
      </c>
      <c r="B146">
        <v>2017</v>
      </c>
      <c r="C146"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v>129.6</v>
      </c>
      <c r="V146" s="1">
        <v>132.1</v>
      </c>
      <c r="W146" s="1">
        <v>133.19999999999999</v>
      </c>
      <c r="X146" s="1">
        <v>129.9</v>
      </c>
      <c r="Y146" s="1">
        <v>119.1</v>
      </c>
      <c r="Z146" s="1">
        <v>127</v>
      </c>
      <c r="AA146" s="1">
        <v>134.6</v>
      </c>
      <c r="AB146" s="1">
        <v>122.3</v>
      </c>
      <c r="AC146" s="1">
        <v>126.6</v>
      </c>
      <c r="AD146" s="1">
        <v>132.4</v>
      </c>
    </row>
    <row r="147" spans="1:30">
      <c r="A147" t="s">
        <v>32</v>
      </c>
      <c r="B147">
        <v>2017</v>
      </c>
      <c r="C147"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c r="A148" t="s">
        <v>33</v>
      </c>
      <c r="B148">
        <v>2017</v>
      </c>
      <c r="C148"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c r="A149" t="s">
        <v>30</v>
      </c>
      <c r="B149">
        <v>2017</v>
      </c>
      <c r="C149" t="s">
        <v>34</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v>130.5</v>
      </c>
      <c r="V149" s="1">
        <v>133.19999999999999</v>
      </c>
      <c r="W149" s="1">
        <v>133.6</v>
      </c>
      <c r="X149" s="1">
        <v>130.1</v>
      </c>
      <c r="Y149" s="1">
        <v>119.5</v>
      </c>
      <c r="Z149" s="1">
        <v>127.7</v>
      </c>
      <c r="AA149" s="1">
        <v>134.9</v>
      </c>
      <c r="AB149" s="1">
        <v>123.2</v>
      </c>
      <c r="AC149" s="1">
        <v>127</v>
      </c>
      <c r="AD149" s="1">
        <v>132.6</v>
      </c>
    </row>
    <row r="150" spans="1:30">
      <c r="A150" t="s">
        <v>32</v>
      </c>
      <c r="B150">
        <v>2017</v>
      </c>
      <c r="C150" t="s">
        <v>34</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c r="A151" t="s">
        <v>33</v>
      </c>
      <c r="B151">
        <v>2017</v>
      </c>
      <c r="C151" t="s">
        <v>34</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c r="A152" t="s">
        <v>30</v>
      </c>
      <c r="B152">
        <v>2017</v>
      </c>
      <c r="C152" t="s">
        <v>35</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v>131.1</v>
      </c>
      <c r="V152" s="1">
        <v>134.19999999999999</v>
      </c>
      <c r="W152" s="1">
        <v>134.1</v>
      </c>
      <c r="X152" s="1">
        <v>130.6</v>
      </c>
      <c r="Y152" s="1">
        <v>119.8</v>
      </c>
      <c r="Z152" s="1">
        <v>128.30000000000001</v>
      </c>
      <c r="AA152" s="1">
        <v>135.19999999999999</v>
      </c>
      <c r="AB152" s="1">
        <v>123.3</v>
      </c>
      <c r="AC152" s="1">
        <v>127.4</v>
      </c>
      <c r="AD152" s="1">
        <v>132.80000000000001</v>
      </c>
    </row>
    <row r="153" spans="1:30">
      <c r="A153" t="s">
        <v>32</v>
      </c>
      <c r="B153">
        <v>2017</v>
      </c>
      <c r="C153" t="s">
        <v>35</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c r="A154" t="s">
        <v>33</v>
      </c>
      <c r="B154">
        <v>2017</v>
      </c>
      <c r="C154" t="s">
        <v>35</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c r="A155" t="s">
        <v>30</v>
      </c>
      <c r="B155">
        <v>2017</v>
      </c>
      <c r="C155" t="s">
        <v>36</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v>131.69999999999999</v>
      </c>
      <c r="V155" s="1">
        <v>135</v>
      </c>
      <c r="W155" s="1">
        <v>134.30000000000001</v>
      </c>
      <c r="X155" s="1">
        <v>131</v>
      </c>
      <c r="Y155" s="1">
        <v>119.2</v>
      </c>
      <c r="Z155" s="1">
        <v>128.30000000000001</v>
      </c>
      <c r="AA155" s="1">
        <v>135.69999999999999</v>
      </c>
      <c r="AB155" s="1">
        <v>123.7</v>
      </c>
      <c r="AC155" s="1">
        <v>127.5</v>
      </c>
      <c r="AD155" s="1">
        <v>132.9</v>
      </c>
    </row>
    <row r="156" spans="1:30">
      <c r="A156" t="s">
        <v>32</v>
      </c>
      <c r="B156">
        <v>2017</v>
      </c>
      <c r="C156" t="s">
        <v>36</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c r="A157" t="s">
        <v>33</v>
      </c>
      <c r="B157">
        <v>2017</v>
      </c>
      <c r="C157" t="s">
        <v>36</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c r="A158" t="s">
        <v>30</v>
      </c>
      <c r="B158">
        <v>2017</v>
      </c>
      <c r="C158" t="s">
        <v>37</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v>132.1</v>
      </c>
      <c r="V158" s="1">
        <v>135</v>
      </c>
      <c r="W158" s="1">
        <v>134.9</v>
      </c>
      <c r="X158" s="1">
        <v>131.4</v>
      </c>
      <c r="Y158" s="1">
        <v>119.4</v>
      </c>
      <c r="Z158" s="1">
        <v>129.4</v>
      </c>
      <c r="AA158" s="1">
        <v>136.30000000000001</v>
      </c>
      <c r="AB158" s="1">
        <v>123.7</v>
      </c>
      <c r="AC158" s="1">
        <v>127.9</v>
      </c>
      <c r="AD158" s="1">
        <v>133.30000000000001</v>
      </c>
    </row>
    <row r="159" spans="1:30">
      <c r="A159" t="s">
        <v>32</v>
      </c>
      <c r="B159">
        <v>2017</v>
      </c>
      <c r="C159" t="s">
        <v>37</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c r="A160" t="s">
        <v>33</v>
      </c>
      <c r="B160">
        <v>2017</v>
      </c>
      <c r="C160" t="s">
        <v>37</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c r="A161" t="s">
        <v>30</v>
      </c>
      <c r="B161">
        <v>2017</v>
      </c>
      <c r="C161" t="s">
        <v>38</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v>131.4</v>
      </c>
      <c r="V161" s="1">
        <v>134.80000000000001</v>
      </c>
      <c r="W161" s="1">
        <v>135.19999999999999</v>
      </c>
      <c r="X161" s="1">
        <v>131.30000000000001</v>
      </c>
      <c r="Y161" s="1">
        <v>119.4</v>
      </c>
      <c r="Z161" s="1">
        <v>129.80000000000001</v>
      </c>
      <c r="AA161" s="1">
        <v>136.9</v>
      </c>
      <c r="AB161" s="1">
        <v>124.1</v>
      </c>
      <c r="AC161" s="1">
        <v>128.1</v>
      </c>
      <c r="AD161" s="1">
        <v>133.9</v>
      </c>
    </row>
    <row r="162" spans="1:30">
      <c r="A162" t="s">
        <v>32</v>
      </c>
      <c r="B162">
        <v>2017</v>
      </c>
      <c r="C162" t="s">
        <v>38</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c r="A163" t="s">
        <v>33</v>
      </c>
      <c r="B163">
        <v>2017</v>
      </c>
      <c r="C163" t="s">
        <v>38</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c r="A164" t="s">
        <v>30</v>
      </c>
      <c r="B164">
        <v>2017</v>
      </c>
      <c r="C164" t="s">
        <v>39</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v>132.6</v>
      </c>
      <c r="V164" s="1">
        <v>135.30000000000001</v>
      </c>
      <c r="W164" s="1">
        <v>136.1</v>
      </c>
      <c r="X164" s="1">
        <v>132.1</v>
      </c>
      <c r="Y164" s="1">
        <v>119.1</v>
      </c>
      <c r="Z164" s="1">
        <v>130.6</v>
      </c>
      <c r="AA164" s="1">
        <v>138.6</v>
      </c>
      <c r="AB164" s="1">
        <v>124.4</v>
      </c>
      <c r="AC164" s="1">
        <v>128.6</v>
      </c>
      <c r="AD164" s="1">
        <v>136.19999999999999</v>
      </c>
    </row>
    <row r="165" spans="1:30">
      <c r="A165" t="s">
        <v>32</v>
      </c>
      <c r="B165">
        <v>2017</v>
      </c>
      <c r="C165" t="s">
        <v>39</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c r="A166" t="s">
        <v>33</v>
      </c>
      <c r="B166">
        <v>2017</v>
      </c>
      <c r="C166" t="s">
        <v>39</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c r="A167" t="s">
        <v>30</v>
      </c>
      <c r="B167">
        <v>2017</v>
      </c>
      <c r="C167" t="s">
        <v>40</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v>134.4</v>
      </c>
      <c r="V167" s="1">
        <v>136.4</v>
      </c>
      <c r="W167" s="1">
        <v>137.30000000000001</v>
      </c>
      <c r="X167" s="1">
        <v>133</v>
      </c>
      <c r="Y167" s="1">
        <v>120.3</v>
      </c>
      <c r="Z167" s="1">
        <v>131.5</v>
      </c>
      <c r="AA167" s="1">
        <v>140.19999999999999</v>
      </c>
      <c r="AB167" s="1">
        <v>125.4</v>
      </c>
      <c r="AC167" s="1">
        <v>129.69999999999999</v>
      </c>
      <c r="AD167" s="1">
        <v>137.80000000000001</v>
      </c>
    </row>
    <row r="168" spans="1:30">
      <c r="A168" t="s">
        <v>32</v>
      </c>
      <c r="B168">
        <v>2017</v>
      </c>
      <c r="C168" t="s">
        <v>40</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c r="A169" t="s">
        <v>33</v>
      </c>
      <c r="B169">
        <v>2017</v>
      </c>
      <c r="C169" t="s">
        <v>40</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c r="A170" t="s">
        <v>30</v>
      </c>
      <c r="B170">
        <v>2017</v>
      </c>
      <c r="C170" t="s">
        <v>41</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v>135.69999999999999</v>
      </c>
      <c r="V170" s="1">
        <v>137.4</v>
      </c>
      <c r="W170" s="1">
        <v>137.9</v>
      </c>
      <c r="X170" s="1">
        <v>133.4</v>
      </c>
      <c r="Y170" s="1">
        <v>121.2</v>
      </c>
      <c r="Z170" s="1">
        <v>132.30000000000001</v>
      </c>
      <c r="AA170" s="1">
        <v>139.6</v>
      </c>
      <c r="AB170" s="1">
        <v>126.7</v>
      </c>
      <c r="AC170" s="1">
        <v>130.30000000000001</v>
      </c>
      <c r="AD170" s="1">
        <v>137.6</v>
      </c>
    </row>
    <row r="171" spans="1:30">
      <c r="A171" t="s">
        <v>32</v>
      </c>
      <c r="B171">
        <v>2017</v>
      </c>
      <c r="C171" t="s">
        <v>41</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c r="A172" t="s">
        <v>33</v>
      </c>
      <c r="B172">
        <v>2017</v>
      </c>
      <c r="C172" t="s">
        <v>41</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c r="A173" t="s">
        <v>30</v>
      </c>
      <c r="B173">
        <v>2017</v>
      </c>
      <c r="C173" t="s">
        <v>42</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v>137.30000000000001</v>
      </c>
      <c r="V173" s="1">
        <v>138.1</v>
      </c>
      <c r="W173" s="1">
        <v>138.4</v>
      </c>
      <c r="X173" s="1">
        <v>134.19999999999999</v>
      </c>
      <c r="Y173" s="1">
        <v>121</v>
      </c>
      <c r="Z173" s="1">
        <v>133</v>
      </c>
      <c r="AA173" s="1">
        <v>140.1</v>
      </c>
      <c r="AB173" s="1">
        <v>127.4</v>
      </c>
      <c r="AC173" s="1">
        <v>130.69999999999999</v>
      </c>
      <c r="AD173" s="1">
        <v>138.30000000000001</v>
      </c>
    </row>
    <row r="174" spans="1:30">
      <c r="A174" t="s">
        <v>32</v>
      </c>
      <c r="B174">
        <v>2017</v>
      </c>
      <c r="C174" t="s">
        <v>42</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c r="A175" t="s">
        <v>33</v>
      </c>
      <c r="B175">
        <v>2017</v>
      </c>
      <c r="C175" t="s">
        <v>42</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c r="A176" t="s">
        <v>30</v>
      </c>
      <c r="B176">
        <v>2017</v>
      </c>
      <c r="C176"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v>138.6</v>
      </c>
      <c r="V176" s="1">
        <v>141.1</v>
      </c>
      <c r="W176" s="1">
        <v>139.4</v>
      </c>
      <c r="X176" s="1">
        <v>135.80000000000001</v>
      </c>
      <c r="Y176" s="1">
        <v>121.6</v>
      </c>
      <c r="Z176" s="1">
        <v>133.69999999999999</v>
      </c>
      <c r="AA176" s="1">
        <v>141.5</v>
      </c>
      <c r="AB176" s="1">
        <v>128.1</v>
      </c>
      <c r="AC176" s="1">
        <v>131.69999999999999</v>
      </c>
      <c r="AD176" s="1">
        <v>140</v>
      </c>
    </row>
    <row r="177" spans="1:30">
      <c r="A177" t="s">
        <v>32</v>
      </c>
      <c r="B177">
        <v>2017</v>
      </c>
      <c r="C177"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c r="A178" t="s">
        <v>33</v>
      </c>
      <c r="B178">
        <v>2017</v>
      </c>
      <c r="C178"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c r="A179" t="s">
        <v>30</v>
      </c>
      <c r="B179">
        <v>2017</v>
      </c>
      <c r="C179"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v>139.1</v>
      </c>
      <c r="V179" s="1">
        <v>142.6</v>
      </c>
      <c r="W179" s="1">
        <v>139.5</v>
      </c>
      <c r="X179" s="1">
        <v>136.1</v>
      </c>
      <c r="Y179" s="1">
        <v>122</v>
      </c>
      <c r="Z179" s="1">
        <v>133.4</v>
      </c>
      <c r="AA179" s="1">
        <v>141.1</v>
      </c>
      <c r="AB179" s="1">
        <v>127.8</v>
      </c>
      <c r="AC179" s="1">
        <v>131.9</v>
      </c>
      <c r="AD179" s="1">
        <v>139.80000000000001</v>
      </c>
    </row>
    <row r="180" spans="1:30">
      <c r="A180" t="s">
        <v>32</v>
      </c>
      <c r="B180">
        <v>2017</v>
      </c>
      <c r="C180"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c r="A181" t="s">
        <v>33</v>
      </c>
      <c r="B181">
        <v>2017</v>
      </c>
      <c r="C18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c r="A182" t="s">
        <v>30</v>
      </c>
      <c r="B182">
        <v>2018</v>
      </c>
      <c r="C182"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v>140.4</v>
      </c>
      <c r="V182" s="1">
        <v>142.30000000000001</v>
      </c>
      <c r="W182" s="1">
        <v>139.80000000000001</v>
      </c>
      <c r="X182" s="1">
        <v>136</v>
      </c>
      <c r="Y182" s="1">
        <v>122.7</v>
      </c>
      <c r="Z182" s="1">
        <v>134.30000000000001</v>
      </c>
      <c r="AA182" s="1">
        <v>141.6</v>
      </c>
      <c r="AB182" s="1">
        <v>128.6</v>
      </c>
      <c r="AC182" s="1">
        <v>132.30000000000001</v>
      </c>
      <c r="AD182" s="1">
        <v>139.30000000000001</v>
      </c>
    </row>
    <row r="183" spans="1:30">
      <c r="A183" t="s">
        <v>32</v>
      </c>
      <c r="B183">
        <v>2018</v>
      </c>
      <c r="C183"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c r="A184" t="s">
        <v>33</v>
      </c>
      <c r="B184">
        <v>2018</v>
      </c>
      <c r="C184"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c r="A185" t="s">
        <v>30</v>
      </c>
      <c r="B185">
        <v>2018</v>
      </c>
      <c r="C185" t="s">
        <v>34</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v>141.30000000000001</v>
      </c>
      <c r="V185" s="1">
        <v>142.4</v>
      </c>
      <c r="W185" s="1">
        <v>139.9</v>
      </c>
      <c r="X185" s="1">
        <v>136.19999999999999</v>
      </c>
      <c r="Y185" s="1">
        <v>123.3</v>
      </c>
      <c r="Z185" s="1">
        <v>134.30000000000001</v>
      </c>
      <c r="AA185" s="1">
        <v>141.5</v>
      </c>
      <c r="AB185" s="1">
        <v>128.80000000000001</v>
      </c>
      <c r="AC185" s="1">
        <v>132.5</v>
      </c>
      <c r="AD185" s="1">
        <v>138.5</v>
      </c>
    </row>
    <row r="186" spans="1:30">
      <c r="A186" t="s">
        <v>32</v>
      </c>
      <c r="B186">
        <v>2018</v>
      </c>
      <c r="C186" t="s">
        <v>34</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c r="A187" t="s">
        <v>33</v>
      </c>
      <c r="B187">
        <v>2018</v>
      </c>
      <c r="C187" t="s">
        <v>34</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c r="A188" t="s">
        <v>30</v>
      </c>
      <c r="B188">
        <v>2018</v>
      </c>
      <c r="C188" t="s">
        <v>35</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v>142</v>
      </c>
      <c r="V188" s="1">
        <v>142.6</v>
      </c>
      <c r="W188" s="1">
        <v>139.9</v>
      </c>
      <c r="X188" s="1">
        <v>136.69999999999999</v>
      </c>
      <c r="Y188" s="1">
        <v>124.6</v>
      </c>
      <c r="Z188" s="1">
        <v>135.1</v>
      </c>
      <c r="AA188" s="1">
        <v>142.69999999999999</v>
      </c>
      <c r="AB188" s="1">
        <v>129.30000000000001</v>
      </c>
      <c r="AC188" s="1">
        <v>133.30000000000001</v>
      </c>
      <c r="AD188" s="1">
        <v>138.69999999999999</v>
      </c>
    </row>
    <row r="189" spans="1:30">
      <c r="A189" t="s">
        <v>32</v>
      </c>
      <c r="B189">
        <v>2018</v>
      </c>
      <c r="C189" t="s">
        <v>35</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c r="A190" t="s">
        <v>33</v>
      </c>
      <c r="B190">
        <v>2018</v>
      </c>
      <c r="C190" t="s">
        <v>35</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c r="A191" t="s">
        <v>30</v>
      </c>
      <c r="B191">
        <v>2018</v>
      </c>
      <c r="C191" t="s">
        <v>36</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v>142.9</v>
      </c>
      <c r="V191" s="1">
        <v>143.80000000000001</v>
      </c>
      <c r="W191" s="1">
        <v>140.9</v>
      </c>
      <c r="X191" s="1">
        <v>137.6</v>
      </c>
      <c r="Y191" s="1">
        <v>125.3</v>
      </c>
      <c r="Z191" s="1">
        <v>136</v>
      </c>
      <c r="AA191" s="1">
        <v>143.69999999999999</v>
      </c>
      <c r="AB191" s="1">
        <v>130.4</v>
      </c>
      <c r="AC191" s="1">
        <v>134.19999999999999</v>
      </c>
      <c r="AD191" s="1">
        <v>139.1</v>
      </c>
    </row>
    <row r="192" spans="1:30">
      <c r="A192" t="s">
        <v>32</v>
      </c>
      <c r="B192">
        <v>2018</v>
      </c>
      <c r="C192" t="s">
        <v>36</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c r="A193" t="s">
        <v>33</v>
      </c>
      <c r="B193">
        <v>2018</v>
      </c>
      <c r="C193" t="s">
        <v>36</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c r="A194" t="s">
        <v>30</v>
      </c>
      <c r="B194">
        <v>2018</v>
      </c>
      <c r="C194" t="s">
        <v>37</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v>143.19999999999999</v>
      </c>
      <c r="V194" s="1">
        <v>144.30000000000001</v>
      </c>
      <c r="W194" s="1">
        <v>141.80000000000001</v>
      </c>
      <c r="X194" s="1">
        <v>138.4</v>
      </c>
      <c r="Y194" s="1">
        <v>126.4</v>
      </c>
      <c r="Z194" s="1">
        <v>136.80000000000001</v>
      </c>
      <c r="AA194" s="1">
        <v>144.4</v>
      </c>
      <c r="AB194" s="1">
        <v>131.19999999999999</v>
      </c>
      <c r="AC194" s="1">
        <v>135.1</v>
      </c>
      <c r="AD194" s="1">
        <v>139.80000000000001</v>
      </c>
    </row>
    <row r="195" spans="1:30">
      <c r="A195" t="s">
        <v>32</v>
      </c>
      <c r="B195">
        <v>2018</v>
      </c>
      <c r="C195" t="s">
        <v>37</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c r="A196" t="s">
        <v>33</v>
      </c>
      <c r="B196">
        <v>2018</v>
      </c>
      <c r="C196" t="s">
        <v>37</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c r="A197" t="s">
        <v>30</v>
      </c>
      <c r="B197">
        <v>2018</v>
      </c>
      <c r="C197" t="s">
        <v>38</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v>142.5</v>
      </c>
      <c r="V197" s="1">
        <v>145.1</v>
      </c>
      <c r="W197" s="1">
        <v>142.19999999999999</v>
      </c>
      <c r="X197" s="1">
        <v>138.4</v>
      </c>
      <c r="Y197" s="1">
        <v>127.4</v>
      </c>
      <c r="Z197" s="1">
        <v>137.80000000000001</v>
      </c>
      <c r="AA197" s="1">
        <v>145.1</v>
      </c>
      <c r="AB197" s="1">
        <v>131.4</v>
      </c>
      <c r="AC197" s="1">
        <v>135.6</v>
      </c>
      <c r="AD197" s="1">
        <v>140.5</v>
      </c>
    </row>
    <row r="198" spans="1:30">
      <c r="A198" t="s">
        <v>32</v>
      </c>
      <c r="B198">
        <v>2018</v>
      </c>
      <c r="C198" t="s">
        <v>38</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c r="A199" t="s">
        <v>33</v>
      </c>
      <c r="B199">
        <v>2018</v>
      </c>
      <c r="C199" t="s">
        <v>38</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c r="A200" t="s">
        <v>30</v>
      </c>
      <c r="B200">
        <v>2018</v>
      </c>
      <c r="C200" t="s">
        <v>39</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v>143.6</v>
      </c>
      <c r="V200" s="1">
        <v>146.80000000000001</v>
      </c>
      <c r="W200" s="1">
        <v>143.1</v>
      </c>
      <c r="X200" s="1">
        <v>139</v>
      </c>
      <c r="Y200" s="1">
        <v>127.5</v>
      </c>
      <c r="Z200" s="1">
        <v>138.4</v>
      </c>
      <c r="AA200" s="1">
        <v>145.80000000000001</v>
      </c>
      <c r="AB200" s="1">
        <v>131.4</v>
      </c>
      <c r="AC200" s="1">
        <v>136</v>
      </c>
      <c r="AD200" s="1">
        <v>141.80000000000001</v>
      </c>
    </row>
    <row r="201" spans="1:30">
      <c r="A201" t="s">
        <v>32</v>
      </c>
      <c r="B201">
        <v>2018</v>
      </c>
      <c r="C201" t="s">
        <v>39</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c r="A202" t="s">
        <v>33</v>
      </c>
      <c r="B202">
        <v>2018</v>
      </c>
      <c r="C202" t="s">
        <v>39</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c r="A203" t="s">
        <v>30</v>
      </c>
      <c r="B203">
        <v>2018</v>
      </c>
      <c r="C203" t="s">
        <v>40</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v>144.6</v>
      </c>
      <c r="V203" s="1">
        <v>147.69999999999999</v>
      </c>
      <c r="W203" s="1">
        <v>143.80000000000001</v>
      </c>
      <c r="X203" s="1">
        <v>139.4</v>
      </c>
      <c r="Y203" s="1">
        <v>128.30000000000001</v>
      </c>
      <c r="Z203" s="1">
        <v>138.6</v>
      </c>
      <c r="AA203" s="1">
        <v>146.9</v>
      </c>
      <c r="AB203" s="1">
        <v>131.30000000000001</v>
      </c>
      <c r="AC203" s="1">
        <v>136.6</v>
      </c>
      <c r="AD203" s="1">
        <v>142.5</v>
      </c>
    </row>
    <row r="204" spans="1:30">
      <c r="A204" t="s">
        <v>32</v>
      </c>
      <c r="B204">
        <v>2018</v>
      </c>
      <c r="C204" t="s">
        <v>40</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c r="A205" t="s">
        <v>33</v>
      </c>
      <c r="B205">
        <v>2018</v>
      </c>
      <c r="C205" t="s">
        <v>40</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c r="A206" t="s">
        <v>30</v>
      </c>
      <c r="B206">
        <v>2018</v>
      </c>
      <c r="C206" t="s">
        <v>41</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v>145.30000000000001</v>
      </c>
      <c r="V206" s="1">
        <v>149</v>
      </c>
      <c r="W206" s="1">
        <v>144</v>
      </c>
      <c r="X206" s="1">
        <v>140</v>
      </c>
      <c r="Y206" s="1">
        <v>129.9</v>
      </c>
      <c r="Z206" s="1">
        <v>140</v>
      </c>
      <c r="AA206" s="1">
        <v>147.6</v>
      </c>
      <c r="AB206" s="1">
        <v>132</v>
      </c>
      <c r="AC206" s="1">
        <v>137.4</v>
      </c>
      <c r="AD206" s="1">
        <v>142.1</v>
      </c>
    </row>
    <row r="207" spans="1:30">
      <c r="A207" t="s">
        <v>32</v>
      </c>
      <c r="B207">
        <v>2018</v>
      </c>
      <c r="C207" t="s">
        <v>41</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c r="A208" t="s">
        <v>33</v>
      </c>
      <c r="B208">
        <v>2018</v>
      </c>
      <c r="C208" t="s">
        <v>41</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c r="A209" t="s">
        <v>30</v>
      </c>
      <c r="B209">
        <v>2018</v>
      </c>
      <c r="C209" t="s">
        <v>42</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v>146.60000000000002</v>
      </c>
      <c r="V209" s="1">
        <v>149.69999999999999</v>
      </c>
      <c r="W209" s="1">
        <v>147.5</v>
      </c>
      <c r="X209" s="1">
        <v>144.80000000000001</v>
      </c>
      <c r="Y209" s="1">
        <v>130.80000000000001</v>
      </c>
      <c r="Z209" s="1">
        <v>140.1</v>
      </c>
      <c r="AA209" s="1">
        <v>148</v>
      </c>
      <c r="AB209" s="1">
        <v>134.4</v>
      </c>
      <c r="AC209" s="1">
        <v>139.80000000000001</v>
      </c>
      <c r="AD209" s="1">
        <v>142.19999999999999</v>
      </c>
    </row>
    <row r="210" spans="1:30">
      <c r="A210" t="s">
        <v>32</v>
      </c>
      <c r="B210">
        <v>2018</v>
      </c>
      <c r="C210" t="s">
        <v>42</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c r="A211" t="s">
        <v>33</v>
      </c>
      <c r="B211">
        <v>2018</v>
      </c>
      <c r="C211" t="s">
        <v>42</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c r="A212" t="s">
        <v>30</v>
      </c>
      <c r="B212">
        <v>2018</v>
      </c>
      <c r="C212"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v>146.9</v>
      </c>
      <c r="V212" s="1">
        <v>150.30000000000001</v>
      </c>
      <c r="W212" s="1">
        <v>148</v>
      </c>
      <c r="X212" s="1">
        <v>145.4</v>
      </c>
      <c r="Y212" s="1">
        <v>130.30000000000001</v>
      </c>
      <c r="Z212" s="1">
        <v>143.1</v>
      </c>
      <c r="AA212" s="1">
        <v>150.19999999999999</v>
      </c>
      <c r="AB212" s="1">
        <v>133.1</v>
      </c>
      <c r="AC212" s="1">
        <v>140.1</v>
      </c>
      <c r="AD212" s="1">
        <v>142.4</v>
      </c>
    </row>
    <row r="213" spans="1:30">
      <c r="A213" t="s">
        <v>32</v>
      </c>
      <c r="B213">
        <v>2018</v>
      </c>
      <c r="C213"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c r="A214" t="s">
        <v>33</v>
      </c>
      <c r="B214">
        <v>2018</v>
      </c>
      <c r="C214"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c r="A215" t="s">
        <v>30</v>
      </c>
      <c r="B215">
        <v>2018</v>
      </c>
      <c r="C215"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v>146.5</v>
      </c>
      <c r="V215" s="1">
        <v>149</v>
      </c>
      <c r="W215" s="1">
        <v>149.5</v>
      </c>
      <c r="X215" s="1">
        <v>149.6</v>
      </c>
      <c r="Y215" s="1">
        <v>128.9</v>
      </c>
      <c r="Z215" s="1">
        <v>143.30000000000001</v>
      </c>
      <c r="AA215" s="1">
        <v>155.1</v>
      </c>
      <c r="AB215" s="1">
        <v>133.19999999999999</v>
      </c>
      <c r="AC215" s="1">
        <v>141.6</v>
      </c>
      <c r="AD215" s="1">
        <v>141.9</v>
      </c>
    </row>
    <row r="216" spans="1:30">
      <c r="A216" t="s">
        <v>32</v>
      </c>
      <c r="B216">
        <v>2018</v>
      </c>
      <c r="C216"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c r="A217" t="s">
        <v>33</v>
      </c>
      <c r="B217">
        <v>2018</v>
      </c>
      <c r="C217"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c r="A218" t="s">
        <v>30</v>
      </c>
      <c r="B218">
        <v>2019</v>
      </c>
      <c r="C218"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v>147.69999999999999</v>
      </c>
      <c r="V218" s="1">
        <v>146.19999999999999</v>
      </c>
      <c r="W218" s="1">
        <v>150.1</v>
      </c>
      <c r="X218" s="1">
        <v>149.6</v>
      </c>
      <c r="Y218" s="1">
        <v>128.6</v>
      </c>
      <c r="Z218" s="1">
        <v>142.9</v>
      </c>
      <c r="AA218" s="1">
        <v>155.19999999999999</v>
      </c>
      <c r="AB218" s="1">
        <v>133.5</v>
      </c>
      <c r="AC218" s="1">
        <v>141.69999999999999</v>
      </c>
      <c r="AD218" s="1">
        <v>141</v>
      </c>
    </row>
    <row r="219" spans="1:30">
      <c r="A219" t="s">
        <v>32</v>
      </c>
      <c r="B219">
        <v>2019</v>
      </c>
      <c r="C219"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c r="A220" t="s">
        <v>33</v>
      </c>
      <c r="B220">
        <v>2019</v>
      </c>
      <c r="C220"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c r="A221" t="s">
        <v>30</v>
      </c>
      <c r="B221">
        <v>2019</v>
      </c>
      <c r="C221" t="s">
        <v>34</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v>148.5</v>
      </c>
      <c r="V221" s="1">
        <v>145.30000000000001</v>
      </c>
      <c r="W221" s="1">
        <v>150.1</v>
      </c>
      <c r="X221" s="1">
        <v>149.9</v>
      </c>
      <c r="Y221" s="1">
        <v>129.19999999999999</v>
      </c>
      <c r="Z221" s="1">
        <v>143.4</v>
      </c>
      <c r="AA221" s="1">
        <v>155.5</v>
      </c>
      <c r="AB221" s="1">
        <v>134.9</v>
      </c>
      <c r="AC221" s="1">
        <v>142.19999999999999</v>
      </c>
      <c r="AD221" s="1">
        <v>141</v>
      </c>
    </row>
    <row r="222" spans="1:30">
      <c r="A222" t="s">
        <v>32</v>
      </c>
      <c r="B222">
        <v>2019</v>
      </c>
      <c r="C222" t="s">
        <v>34</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c r="A223" t="s">
        <v>33</v>
      </c>
      <c r="B223">
        <v>2019</v>
      </c>
      <c r="C223" t="s">
        <v>34</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c r="A224" t="s">
        <v>30</v>
      </c>
      <c r="B224">
        <v>2019</v>
      </c>
      <c r="C224" t="s">
        <v>35</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v>149</v>
      </c>
      <c r="V224" s="1">
        <v>146.4</v>
      </c>
      <c r="W224" s="1">
        <v>150</v>
      </c>
      <c r="X224" s="1">
        <v>150.4</v>
      </c>
      <c r="Y224" s="1">
        <v>129.9</v>
      </c>
      <c r="Z224" s="1">
        <v>143.80000000000001</v>
      </c>
      <c r="AA224" s="1">
        <v>155.5</v>
      </c>
      <c r="AB224" s="1">
        <v>134</v>
      </c>
      <c r="AC224" s="1">
        <v>142.4</v>
      </c>
      <c r="AD224" s="1">
        <v>141.19999999999999</v>
      </c>
    </row>
    <row r="225" spans="1:30">
      <c r="A225" t="s">
        <v>32</v>
      </c>
      <c r="B225">
        <v>2019</v>
      </c>
      <c r="C225" t="s">
        <v>35</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c r="A226" t="s">
        <v>33</v>
      </c>
      <c r="B226">
        <v>2019</v>
      </c>
      <c r="C226" t="s">
        <v>35</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c r="A227" t="s">
        <v>30</v>
      </c>
      <c r="B227">
        <v>2019</v>
      </c>
      <c r="C227" t="s">
        <v>37</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v>150.1</v>
      </c>
      <c r="V227" s="1">
        <v>146.9</v>
      </c>
      <c r="W227" s="1">
        <v>149.5</v>
      </c>
      <c r="X227" s="1">
        <v>151.30000000000001</v>
      </c>
      <c r="Y227" s="1">
        <v>130.19999999999999</v>
      </c>
      <c r="Z227" s="1">
        <v>145.9</v>
      </c>
      <c r="AA227" s="1">
        <v>156.69999999999999</v>
      </c>
      <c r="AB227" s="1">
        <v>133.9</v>
      </c>
      <c r="AC227" s="1">
        <v>142.9</v>
      </c>
      <c r="AD227" s="1">
        <v>142.4</v>
      </c>
    </row>
    <row r="228" spans="1:30">
      <c r="A228" t="s">
        <v>32</v>
      </c>
      <c r="B228">
        <v>2019</v>
      </c>
      <c r="C228" t="s">
        <v>37</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c r="A229" t="s">
        <v>33</v>
      </c>
      <c r="B229">
        <v>2019</v>
      </c>
      <c r="C229" t="s">
        <v>37</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c r="A230" t="s">
        <v>30</v>
      </c>
      <c r="B230">
        <v>2019</v>
      </c>
      <c r="C230" t="s">
        <v>38</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v>149.4</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c r="A231" t="s">
        <v>32</v>
      </c>
      <c r="B231">
        <v>2019</v>
      </c>
      <c r="C231" t="s">
        <v>38</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c r="A232" t="s">
        <v>33</v>
      </c>
      <c r="B232">
        <v>2019</v>
      </c>
      <c r="C232" t="s">
        <v>38</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c r="A233" t="s">
        <v>30</v>
      </c>
      <c r="B233">
        <v>2019</v>
      </c>
      <c r="C233" t="s">
        <v>39</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v>150.6</v>
      </c>
      <c r="V233" s="1">
        <v>146.80000000000001</v>
      </c>
      <c r="W233" s="1">
        <v>150</v>
      </c>
      <c r="X233" s="1">
        <v>152.19999999999999</v>
      </c>
      <c r="Y233" s="1">
        <v>131.19999999999999</v>
      </c>
      <c r="Z233" s="1">
        <v>147.5</v>
      </c>
      <c r="AA233" s="1">
        <v>159.1</v>
      </c>
      <c r="AB233" s="1">
        <v>136.1</v>
      </c>
      <c r="AC233" s="1">
        <v>144.19999999999999</v>
      </c>
      <c r="AD233" s="1">
        <v>144.9</v>
      </c>
    </row>
    <row r="234" spans="1:30">
      <c r="A234" t="s">
        <v>32</v>
      </c>
      <c r="B234">
        <v>2019</v>
      </c>
      <c r="C234" t="s">
        <v>39</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c r="A235" t="s">
        <v>33</v>
      </c>
      <c r="B235">
        <v>2019</v>
      </c>
      <c r="C235" t="s">
        <v>39</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c r="A236" t="s">
        <v>30</v>
      </c>
      <c r="B236">
        <v>2019</v>
      </c>
      <c r="C236" t="s">
        <v>40</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v>151.6</v>
      </c>
      <c r="V236" s="1">
        <v>146.4</v>
      </c>
      <c r="W236" s="1">
        <v>150.19999999999999</v>
      </c>
      <c r="X236" s="1">
        <v>152.69999999999999</v>
      </c>
      <c r="Y236" s="1">
        <v>131.4</v>
      </c>
      <c r="Z236" s="1">
        <v>148</v>
      </c>
      <c r="AA236" s="1">
        <v>159.69999999999999</v>
      </c>
      <c r="AB236" s="1">
        <v>138.80000000000001</v>
      </c>
      <c r="AC236" s="1">
        <v>144.9</v>
      </c>
      <c r="AD236" s="1">
        <v>145.69999999999999</v>
      </c>
    </row>
    <row r="237" spans="1:30">
      <c r="A237" t="s">
        <v>32</v>
      </c>
      <c r="B237">
        <v>2019</v>
      </c>
      <c r="C237" t="s">
        <v>40</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c r="A238" t="s">
        <v>33</v>
      </c>
      <c r="B238">
        <v>2019</v>
      </c>
      <c r="C238" t="s">
        <v>40</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c r="A239" t="s">
        <v>30</v>
      </c>
      <c r="B239">
        <v>2019</v>
      </c>
      <c r="C239" t="s">
        <v>41</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v>152.19999999999999</v>
      </c>
      <c r="V239" s="1">
        <v>146.9</v>
      </c>
      <c r="W239" s="1">
        <v>150.30000000000001</v>
      </c>
      <c r="X239" s="1">
        <v>153.4</v>
      </c>
      <c r="Y239" s="1">
        <v>131.6</v>
      </c>
      <c r="Z239" s="1">
        <v>148.30000000000001</v>
      </c>
      <c r="AA239" s="1">
        <v>160.19999999999999</v>
      </c>
      <c r="AB239" s="1">
        <v>140.19999999999999</v>
      </c>
      <c r="AC239" s="1">
        <v>145.4</v>
      </c>
      <c r="AD239" s="1">
        <v>146.69999999999999</v>
      </c>
    </row>
    <row r="240" spans="1:30">
      <c r="A240" t="s">
        <v>32</v>
      </c>
      <c r="B240">
        <v>2019</v>
      </c>
      <c r="C240" t="s">
        <v>41</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c r="A241" t="s">
        <v>33</v>
      </c>
      <c r="B241">
        <v>2019</v>
      </c>
      <c r="C241" t="s">
        <v>41</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c r="A242" t="s">
        <v>30</v>
      </c>
      <c r="B242">
        <v>2019</v>
      </c>
      <c r="C242" t="s">
        <v>42</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v>153</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c r="A243" t="s">
        <v>32</v>
      </c>
      <c r="B243">
        <v>2019</v>
      </c>
      <c r="C243" t="s">
        <v>42</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c r="A244" t="s">
        <v>33</v>
      </c>
      <c r="B244">
        <v>2019</v>
      </c>
      <c r="C244" t="s">
        <v>42</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c r="A245" t="s">
        <v>30</v>
      </c>
      <c r="B245">
        <v>2019</v>
      </c>
      <c r="C245"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v>153.5</v>
      </c>
      <c r="V245" s="1">
        <v>148.4</v>
      </c>
      <c r="W245" s="1">
        <v>150.9</v>
      </c>
      <c r="X245" s="1">
        <v>154.30000000000001</v>
      </c>
      <c r="Y245" s="1">
        <v>132.1</v>
      </c>
      <c r="Z245" s="1">
        <v>149.1</v>
      </c>
      <c r="AA245" s="1">
        <v>160.80000000000001</v>
      </c>
      <c r="AB245" s="1">
        <v>140.6</v>
      </c>
      <c r="AC245" s="1">
        <v>146.1</v>
      </c>
      <c r="AD245" s="1">
        <v>149.9</v>
      </c>
    </row>
    <row r="246" spans="1:30">
      <c r="A246" t="s">
        <v>32</v>
      </c>
      <c r="B246">
        <v>2019</v>
      </c>
      <c r="C246"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c r="A247" t="s">
        <v>33</v>
      </c>
      <c r="B247">
        <v>2019</v>
      </c>
      <c r="C247"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c r="A248" t="s">
        <v>30</v>
      </c>
      <c r="B248">
        <v>2019</v>
      </c>
      <c r="C248"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v>152.80000000000001</v>
      </c>
      <c r="V248" s="1">
        <v>149.9</v>
      </c>
      <c r="W248" s="1">
        <v>151.19999999999999</v>
      </c>
      <c r="X248" s="1">
        <v>154.80000000000001</v>
      </c>
      <c r="Y248" s="1">
        <v>135</v>
      </c>
      <c r="Z248" s="1">
        <v>149.5</v>
      </c>
      <c r="AA248" s="1">
        <v>161.1</v>
      </c>
      <c r="AB248" s="1">
        <v>140.6</v>
      </c>
      <c r="AC248" s="1">
        <v>147.1</v>
      </c>
      <c r="AD248" s="1">
        <v>152.30000000000001</v>
      </c>
    </row>
    <row r="249" spans="1:30">
      <c r="A249" t="s">
        <v>32</v>
      </c>
      <c r="B249">
        <v>2019</v>
      </c>
      <c r="C249"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c r="A250" t="s">
        <v>33</v>
      </c>
      <c r="B250">
        <v>2019</v>
      </c>
      <c r="C250"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c r="A251" t="s">
        <v>30</v>
      </c>
      <c r="B251">
        <v>2020</v>
      </c>
      <c r="C25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v>153.9</v>
      </c>
      <c r="V251" s="1">
        <v>150.4</v>
      </c>
      <c r="W251" s="1">
        <v>151.69999999999999</v>
      </c>
      <c r="X251" s="1">
        <v>155.69999999999999</v>
      </c>
      <c r="Y251" s="1">
        <v>136.30000000000001</v>
      </c>
      <c r="Z251" s="1">
        <v>150.1</v>
      </c>
      <c r="AA251" s="1">
        <v>161.69999999999999</v>
      </c>
      <c r="AB251" s="1">
        <v>142.5</v>
      </c>
      <c r="AC251" s="1">
        <v>148.1</v>
      </c>
      <c r="AD251" s="1">
        <v>151.9</v>
      </c>
    </row>
    <row r="252" spans="1:30">
      <c r="A252" t="s">
        <v>32</v>
      </c>
      <c r="B252">
        <v>2020</v>
      </c>
      <c r="C252"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c r="A253" t="s">
        <v>33</v>
      </c>
      <c r="B253">
        <v>2020</v>
      </c>
      <c r="C253"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c r="A254" t="s">
        <v>30</v>
      </c>
      <c r="B254">
        <v>2020</v>
      </c>
      <c r="C254" t="s">
        <v>34</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v>154.80000000000001</v>
      </c>
      <c r="V254" s="1">
        <v>152.30000000000001</v>
      </c>
      <c r="W254" s="1">
        <v>151.80000000000001</v>
      </c>
      <c r="X254" s="1">
        <v>156.19999999999999</v>
      </c>
      <c r="Y254" s="1">
        <v>136</v>
      </c>
      <c r="Z254" s="1">
        <v>150.4</v>
      </c>
      <c r="AA254" s="1">
        <v>161.9</v>
      </c>
      <c r="AB254" s="1">
        <v>143.4</v>
      </c>
      <c r="AC254" s="1">
        <v>148.4</v>
      </c>
      <c r="AD254" s="1">
        <v>150.4</v>
      </c>
    </row>
    <row r="255" spans="1:30">
      <c r="A255" t="s">
        <v>32</v>
      </c>
      <c r="B255">
        <v>2020</v>
      </c>
      <c r="C255" t="s">
        <v>34</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c r="A256" t="s">
        <v>33</v>
      </c>
      <c r="B256">
        <v>2020</v>
      </c>
      <c r="C256" t="s">
        <v>34</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c r="A257" t="s">
        <v>30</v>
      </c>
      <c r="B257">
        <v>2020</v>
      </c>
      <c r="C257" t="s">
        <v>35</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v>154.5</v>
      </c>
      <c r="V257" s="1">
        <v>153.4</v>
      </c>
      <c r="W257" s="1">
        <v>151.5</v>
      </c>
      <c r="X257" s="1">
        <v>156.69999999999999</v>
      </c>
      <c r="Y257" s="1">
        <v>135.80000000000001</v>
      </c>
      <c r="Z257" s="1">
        <v>151.19999999999999</v>
      </c>
      <c r="AA257" s="1">
        <v>161.19999999999999</v>
      </c>
      <c r="AB257" s="1">
        <v>145.1</v>
      </c>
      <c r="AC257" s="1">
        <v>148.6</v>
      </c>
      <c r="AD257" s="1">
        <v>149.80000000000001</v>
      </c>
    </row>
    <row r="258" spans="1:30">
      <c r="A258" t="s">
        <v>32</v>
      </c>
      <c r="B258">
        <v>2020</v>
      </c>
      <c r="C258" t="s">
        <v>35</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c r="A259" t="s">
        <v>33</v>
      </c>
      <c r="B259">
        <v>2020</v>
      </c>
      <c r="C259" t="s">
        <v>35</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c r="A260" t="s">
        <v>30</v>
      </c>
      <c r="B260">
        <v>2020</v>
      </c>
      <c r="C260" t="s">
        <v>36</v>
      </c>
      <c r="D260" s="1">
        <v>147.19999999999999</v>
      </c>
      <c r="E260" s="1">
        <f>(E257+E266)/2</f>
        <v>178.55</v>
      </c>
      <c r="F260" s="1">
        <v>146.9</v>
      </c>
      <c r="G260" s="1">
        <v>155.6</v>
      </c>
      <c r="H260" s="1">
        <v>137.1</v>
      </c>
      <c r="I260" s="1">
        <v>147.30000000000001</v>
      </c>
      <c r="J260" s="1">
        <v>162.69999999999999</v>
      </c>
      <c r="K260" s="1">
        <v>150.19999999999999</v>
      </c>
      <c r="L260" s="1">
        <v>119.8</v>
      </c>
      <c r="M260" s="1">
        <v>158.69999999999999</v>
      </c>
      <c r="N260" s="1">
        <v>139.19999999999999</v>
      </c>
      <c r="O260" s="1">
        <f>(O257+O266)/2</f>
        <v>160.9</v>
      </c>
      <c r="P260" s="1">
        <f t="shared" ref="P260:T260" si="0">(P257+P266)/2</f>
        <v>150.25</v>
      </c>
      <c r="Q260" s="1">
        <f t="shared" si="0"/>
        <v>176.45</v>
      </c>
      <c r="R260" s="1">
        <f t="shared" si="0"/>
        <v>154.05000000000001</v>
      </c>
      <c r="S260" s="1">
        <f t="shared" si="0"/>
        <v>148.80000000000001</v>
      </c>
      <c r="T260" s="1">
        <f t="shared" si="0"/>
        <v>153.30000000000001</v>
      </c>
      <c r="U260" s="1">
        <v>155.6</v>
      </c>
      <c r="V260" s="1">
        <v>148.4</v>
      </c>
      <c r="W260" s="1">
        <f>(W257+W266)/2</f>
        <v>151.6</v>
      </c>
      <c r="X260" s="1">
        <v>154.30000000000001</v>
      </c>
      <c r="Y260" s="1">
        <f>(Y257+Y266)/2</f>
        <v>138.60000000000002</v>
      </c>
      <c r="Z260" s="1">
        <f t="shared" ref="Z260:AD260" si="1">(Z257+Z266)/2</f>
        <v>152.19999999999999</v>
      </c>
      <c r="AA260" s="1">
        <f t="shared" si="1"/>
        <v>161.5</v>
      </c>
      <c r="AB260" s="1">
        <f t="shared" si="1"/>
        <v>148.14999999999998</v>
      </c>
      <c r="AC260" s="1">
        <f t="shared" si="1"/>
        <v>150.14999999999998</v>
      </c>
      <c r="AD260" s="1">
        <f t="shared" si="1"/>
        <v>151.25</v>
      </c>
    </row>
    <row r="261" spans="1:30">
      <c r="A261" t="s">
        <v>32</v>
      </c>
      <c r="B261">
        <v>2020</v>
      </c>
      <c r="C261" t="s">
        <v>36</v>
      </c>
      <c r="D261" s="1">
        <v>151.80000000000001</v>
      </c>
      <c r="E261" s="1">
        <f t="shared" ref="E261:E262" si="2">(E258+E267)/2</f>
        <v>182.25</v>
      </c>
      <c r="F261" s="1">
        <v>151.9</v>
      </c>
      <c r="G261" s="1">
        <v>155.5</v>
      </c>
      <c r="H261" s="1">
        <v>131.6</v>
      </c>
      <c r="I261" s="1">
        <v>152.9</v>
      </c>
      <c r="J261" s="1">
        <v>180</v>
      </c>
      <c r="K261" s="1">
        <v>150.80000000000001</v>
      </c>
      <c r="L261" s="1">
        <v>121.2</v>
      </c>
      <c r="M261" s="1">
        <v>154</v>
      </c>
      <c r="N261" s="1">
        <v>133.5</v>
      </c>
      <c r="O261" s="1">
        <f t="shared" ref="O261:T262" si="3">(O258+O267)/2</f>
        <v>160.39999999999998</v>
      </c>
      <c r="P261" s="1">
        <f t="shared" si="3"/>
        <v>153.55000000000001</v>
      </c>
      <c r="Q261" s="1">
        <f t="shared" si="3"/>
        <v>180</v>
      </c>
      <c r="R261" s="1">
        <f t="shared" si="3"/>
        <v>148.39999999999998</v>
      </c>
      <c r="S261" s="1">
        <f t="shared" si="3"/>
        <v>135.19999999999999</v>
      </c>
      <c r="T261" s="1">
        <f t="shared" si="3"/>
        <v>146.39999999999998</v>
      </c>
      <c r="U261" s="1">
        <v>155.6</v>
      </c>
      <c r="V261" s="1">
        <v>137.1</v>
      </c>
      <c r="W261" s="1">
        <f t="shared" ref="W261:W262" si="4">(W258+W267)/2</f>
        <v>140.60000000000002</v>
      </c>
      <c r="X261" s="1">
        <v>144.80000000000001</v>
      </c>
      <c r="Y261" s="1">
        <f t="shared" ref="Y261:AD262" si="5">(Y258+Y267)/2</f>
        <v>126.95</v>
      </c>
      <c r="Z261" s="1">
        <f t="shared" si="5"/>
        <v>141.19999999999999</v>
      </c>
      <c r="AA261" s="1">
        <f t="shared" si="5"/>
        <v>152.5</v>
      </c>
      <c r="AB261" s="1">
        <f t="shared" si="5"/>
        <v>148.75</v>
      </c>
      <c r="AC261" s="1">
        <f t="shared" si="5"/>
        <v>140.35</v>
      </c>
      <c r="AD261" s="1">
        <f t="shared" si="5"/>
        <v>149.05000000000001</v>
      </c>
    </row>
    <row r="262" spans="1:30">
      <c r="A262" t="s">
        <v>33</v>
      </c>
      <c r="B262">
        <v>2020</v>
      </c>
      <c r="C262" t="s">
        <v>36</v>
      </c>
      <c r="D262" s="1">
        <v>148.69999999999999</v>
      </c>
      <c r="E262" s="1">
        <f t="shared" si="2"/>
        <v>179.85</v>
      </c>
      <c r="F262" s="1">
        <v>148.80000000000001</v>
      </c>
      <c r="G262" s="1">
        <v>155.6</v>
      </c>
      <c r="H262" s="1">
        <v>135.1</v>
      </c>
      <c r="I262" s="1">
        <v>149.9</v>
      </c>
      <c r="J262" s="1">
        <v>168.6</v>
      </c>
      <c r="K262" s="1">
        <v>150.4</v>
      </c>
      <c r="L262" s="1">
        <v>120.3</v>
      </c>
      <c r="M262" s="1">
        <v>157.1</v>
      </c>
      <c r="N262" s="1">
        <v>136.80000000000001</v>
      </c>
      <c r="O262" s="1">
        <f t="shared" si="3"/>
        <v>160.69999999999999</v>
      </c>
      <c r="P262" s="1">
        <f t="shared" si="3"/>
        <v>151.44999999999999</v>
      </c>
      <c r="Q262" s="1">
        <f t="shared" si="3"/>
        <v>177.35</v>
      </c>
      <c r="R262" s="1">
        <f t="shared" si="3"/>
        <v>151.85</v>
      </c>
      <c r="S262" s="1">
        <f t="shared" si="3"/>
        <v>143.15</v>
      </c>
      <c r="T262" s="1">
        <f t="shared" si="3"/>
        <v>150.60000000000002</v>
      </c>
      <c r="U262" s="1">
        <v>155.6</v>
      </c>
      <c r="V262" s="1">
        <v>144.1</v>
      </c>
      <c r="W262" s="1">
        <f t="shared" si="4"/>
        <v>146.4</v>
      </c>
      <c r="X262" s="1">
        <v>150.69999999999999</v>
      </c>
      <c r="Y262" s="1">
        <f t="shared" si="5"/>
        <v>132.44999999999999</v>
      </c>
      <c r="Z262" s="1">
        <f t="shared" si="5"/>
        <v>146</v>
      </c>
      <c r="AA262" s="1">
        <f t="shared" si="5"/>
        <v>156.25</v>
      </c>
      <c r="AB262" s="1">
        <f t="shared" si="5"/>
        <v>148.39999999999998</v>
      </c>
      <c r="AC262" s="1">
        <f t="shared" si="5"/>
        <v>145.4</v>
      </c>
      <c r="AD262" s="1">
        <f t="shared" si="5"/>
        <v>150.19999999999999</v>
      </c>
    </row>
    <row r="263" spans="1:30">
      <c r="A263" t="s">
        <v>30</v>
      </c>
      <c r="B263">
        <v>2020</v>
      </c>
      <c r="C263" t="s">
        <v>37</v>
      </c>
      <c r="D263" s="1">
        <f>(D260+D266)/2</f>
        <v>147.69999999999999</v>
      </c>
      <c r="E263" s="1">
        <f t="shared" ref="E263:AD265" si="6">(E260+E266)/2</f>
        <v>184.42500000000001</v>
      </c>
      <c r="F263" s="1">
        <f t="shared" si="6"/>
        <v>148.15</v>
      </c>
      <c r="G263" s="1">
        <f t="shared" si="6"/>
        <v>154.44999999999999</v>
      </c>
      <c r="H263" s="1">
        <f t="shared" si="6"/>
        <v>137.64999999999998</v>
      </c>
      <c r="I263" s="1">
        <f t="shared" si="6"/>
        <v>145.25</v>
      </c>
      <c r="J263" s="1">
        <f t="shared" si="6"/>
        <v>155.80000000000001</v>
      </c>
      <c r="K263" s="1">
        <f t="shared" si="6"/>
        <v>150.25</v>
      </c>
      <c r="L263" s="1">
        <f t="shared" si="6"/>
        <v>116.5</v>
      </c>
      <c r="M263" s="1">
        <f t="shared" si="6"/>
        <v>159.25</v>
      </c>
      <c r="N263" s="1">
        <f t="shared" si="6"/>
        <v>140.64999999999998</v>
      </c>
      <c r="O263" s="1">
        <f t="shared" si="6"/>
        <v>161.35000000000002</v>
      </c>
      <c r="P263" s="1">
        <f t="shared" si="6"/>
        <v>151.27500000000001</v>
      </c>
      <c r="Q263" s="1">
        <f t="shared" si="6"/>
        <v>179.42500000000001</v>
      </c>
      <c r="R263" s="1">
        <f t="shared" si="6"/>
        <v>154.375</v>
      </c>
      <c r="S263" s="1">
        <f t="shared" si="6"/>
        <v>149.4</v>
      </c>
      <c r="T263" s="1">
        <f t="shared" si="6"/>
        <v>153.69999999999999</v>
      </c>
      <c r="U263" s="1">
        <f t="shared" si="6"/>
        <v>155.14999999999998</v>
      </c>
      <c r="V263" s="1">
        <f t="shared" si="6"/>
        <v>146.65</v>
      </c>
      <c r="W263" s="1">
        <f t="shared" si="6"/>
        <v>151.64999999999998</v>
      </c>
      <c r="X263" s="1">
        <f t="shared" si="6"/>
        <v>156.25</v>
      </c>
      <c r="Y263" s="1">
        <f t="shared" si="6"/>
        <v>140</v>
      </c>
      <c r="Z263" s="1">
        <f t="shared" si="6"/>
        <v>152.69999999999999</v>
      </c>
      <c r="AA263" s="1">
        <f t="shared" si="6"/>
        <v>161.65</v>
      </c>
      <c r="AB263" s="1">
        <f t="shared" si="6"/>
        <v>149.67499999999998</v>
      </c>
      <c r="AC263" s="1">
        <f t="shared" si="6"/>
        <v>150.92499999999998</v>
      </c>
      <c r="AD263" s="1">
        <f t="shared" si="6"/>
        <v>151.97499999999999</v>
      </c>
    </row>
    <row r="264" spans="1:30">
      <c r="A264" t="s">
        <v>32</v>
      </c>
      <c r="B264">
        <v>2020</v>
      </c>
      <c r="C264" t="s">
        <v>37</v>
      </c>
      <c r="D264" s="1">
        <f t="shared" ref="D264:S265" si="7">(D261+D267)/2</f>
        <v>152.25</v>
      </c>
      <c r="E264" s="1">
        <f t="shared" si="7"/>
        <v>189.625</v>
      </c>
      <c r="F264" s="1">
        <f t="shared" si="7"/>
        <v>153.25</v>
      </c>
      <c r="G264" s="1">
        <f t="shared" si="7"/>
        <v>154.44999999999999</v>
      </c>
      <c r="H264" s="1">
        <f t="shared" si="7"/>
        <v>132.25</v>
      </c>
      <c r="I264" s="1">
        <f t="shared" si="7"/>
        <v>152.35000000000002</v>
      </c>
      <c r="J264" s="1">
        <f t="shared" si="7"/>
        <v>175.6</v>
      </c>
      <c r="K264" s="1">
        <f t="shared" si="7"/>
        <v>151.4</v>
      </c>
      <c r="L264" s="1">
        <f t="shared" si="7"/>
        <v>118.75</v>
      </c>
      <c r="M264" s="1">
        <f t="shared" si="7"/>
        <v>156.4</v>
      </c>
      <c r="N264" s="1">
        <f t="shared" si="7"/>
        <v>134.55000000000001</v>
      </c>
      <c r="O264" s="1">
        <f t="shared" si="7"/>
        <v>161.04999999999998</v>
      </c>
      <c r="P264" s="1">
        <f t="shared" si="7"/>
        <v>155.27500000000001</v>
      </c>
      <c r="Q264" s="1">
        <f t="shared" si="7"/>
        <v>183.35</v>
      </c>
      <c r="R264" s="1">
        <f t="shared" si="7"/>
        <v>148.75</v>
      </c>
      <c r="S264" s="1">
        <f t="shared" si="7"/>
        <v>135.89999999999998</v>
      </c>
      <c r="T264" s="1">
        <f t="shared" si="6"/>
        <v>146.79999999999998</v>
      </c>
      <c r="U264" s="1">
        <f t="shared" si="6"/>
        <v>155.14999999999998</v>
      </c>
      <c r="V264" s="1">
        <f t="shared" si="6"/>
        <v>137.1</v>
      </c>
      <c r="W264" s="1">
        <f t="shared" si="6"/>
        <v>140.5</v>
      </c>
      <c r="X264" s="1">
        <f t="shared" si="6"/>
        <v>146.44999999999999</v>
      </c>
      <c r="Y264" s="1">
        <f t="shared" si="6"/>
        <v>128.125</v>
      </c>
      <c r="Z264" s="1">
        <f t="shared" si="6"/>
        <v>142.85</v>
      </c>
      <c r="AA264" s="1">
        <f t="shared" si="6"/>
        <v>152.5</v>
      </c>
      <c r="AB264" s="1">
        <f t="shared" si="6"/>
        <v>150.47499999999999</v>
      </c>
      <c r="AC264" s="1">
        <f t="shared" si="6"/>
        <v>141.17500000000001</v>
      </c>
      <c r="AD264" s="1">
        <f t="shared" si="6"/>
        <v>149.92500000000001</v>
      </c>
    </row>
    <row r="265" spans="1:30">
      <c r="A265" t="s">
        <v>33</v>
      </c>
      <c r="B265">
        <v>2020</v>
      </c>
      <c r="C265" t="s">
        <v>37</v>
      </c>
      <c r="D265" s="1">
        <f t="shared" si="7"/>
        <v>149.14999999999998</v>
      </c>
      <c r="E265" s="1">
        <f t="shared" si="6"/>
        <v>186.27499999999998</v>
      </c>
      <c r="F265" s="1">
        <f t="shared" si="6"/>
        <v>150.10000000000002</v>
      </c>
      <c r="G265" s="1">
        <f t="shared" si="6"/>
        <v>154.44999999999999</v>
      </c>
      <c r="H265" s="1">
        <f t="shared" si="6"/>
        <v>135.69999999999999</v>
      </c>
      <c r="I265" s="1">
        <f t="shared" si="6"/>
        <v>148.55000000000001</v>
      </c>
      <c r="J265" s="1">
        <f t="shared" si="6"/>
        <v>162.55000000000001</v>
      </c>
      <c r="K265" s="1">
        <f t="shared" si="6"/>
        <v>150.65</v>
      </c>
      <c r="L265" s="1">
        <f t="shared" si="6"/>
        <v>117.25</v>
      </c>
      <c r="M265" s="1">
        <f t="shared" si="6"/>
        <v>158.30000000000001</v>
      </c>
      <c r="N265" s="1">
        <f t="shared" si="6"/>
        <v>138.10000000000002</v>
      </c>
      <c r="O265" s="1">
        <f t="shared" si="6"/>
        <v>161.25</v>
      </c>
      <c r="P265" s="1">
        <f t="shared" si="6"/>
        <v>152.72499999999999</v>
      </c>
      <c r="Q265" s="1">
        <f t="shared" si="6"/>
        <v>180.42500000000001</v>
      </c>
      <c r="R265" s="1">
        <f t="shared" si="6"/>
        <v>152.17500000000001</v>
      </c>
      <c r="S265" s="1">
        <f t="shared" si="6"/>
        <v>143.77500000000001</v>
      </c>
      <c r="T265" s="1">
        <f t="shared" si="6"/>
        <v>151</v>
      </c>
      <c r="U265" s="1">
        <f t="shared" si="6"/>
        <v>155.14999999999998</v>
      </c>
      <c r="V265" s="1">
        <f t="shared" si="6"/>
        <v>143</v>
      </c>
      <c r="W265" s="1">
        <f t="shared" si="6"/>
        <v>146.4</v>
      </c>
      <c r="X265" s="1">
        <f t="shared" si="6"/>
        <v>152.55000000000001</v>
      </c>
      <c r="Y265" s="1">
        <f t="shared" si="6"/>
        <v>133.72499999999999</v>
      </c>
      <c r="Z265" s="1">
        <f t="shared" si="6"/>
        <v>147.15</v>
      </c>
      <c r="AA265" s="1">
        <f t="shared" si="6"/>
        <v>156.32499999999999</v>
      </c>
      <c r="AB265" s="1">
        <f t="shared" si="6"/>
        <v>150</v>
      </c>
      <c r="AC265" s="1">
        <f t="shared" si="6"/>
        <v>146.19999999999999</v>
      </c>
      <c r="AD265" s="1">
        <f t="shared" si="6"/>
        <v>151</v>
      </c>
    </row>
    <row r="266" spans="1:30">
      <c r="A266" t="s">
        <v>30</v>
      </c>
      <c r="B266">
        <v>2020</v>
      </c>
      <c r="C266" t="s">
        <v>38</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v>154.69999999999999</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c r="A267" t="s">
        <v>32</v>
      </c>
      <c r="B267">
        <v>2020</v>
      </c>
      <c r="C267" t="s">
        <v>38</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c r="A268" t="s">
        <v>33</v>
      </c>
      <c r="B268">
        <v>2020</v>
      </c>
      <c r="C268" t="s">
        <v>38</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c r="A269" t="s">
        <v>30</v>
      </c>
      <c r="B269">
        <v>2020</v>
      </c>
      <c r="C269" t="s">
        <v>39</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v>154.69999999999999</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c r="A270" t="s">
        <v>32</v>
      </c>
      <c r="B270">
        <v>2020</v>
      </c>
      <c r="C270" t="s">
        <v>39</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c r="A271" t="s">
        <v>33</v>
      </c>
      <c r="B271">
        <v>2020</v>
      </c>
      <c r="C271" t="s">
        <v>39</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c r="A272" t="s">
        <v>30</v>
      </c>
      <c r="B272">
        <v>2020</v>
      </c>
      <c r="C272" t="s">
        <v>40</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v>155.5</v>
      </c>
      <c r="V272" s="1">
        <v>145.80000000000001</v>
      </c>
      <c r="W272" s="1">
        <v>151.9</v>
      </c>
      <c r="X272" s="1">
        <v>158.80000000000001</v>
      </c>
      <c r="Y272" s="1">
        <v>143.6</v>
      </c>
      <c r="Z272" s="1">
        <v>152.19999999999999</v>
      </c>
      <c r="AA272" s="1">
        <v>162.69999999999999</v>
      </c>
      <c r="AB272" s="1">
        <v>153.6</v>
      </c>
      <c r="AC272" s="1">
        <v>153</v>
      </c>
      <c r="AD272" s="1">
        <v>154.69999999999999</v>
      </c>
    </row>
    <row r="273" spans="1:30">
      <c r="A273" t="s">
        <v>32</v>
      </c>
      <c r="B273">
        <v>2020</v>
      </c>
      <c r="C273" t="s">
        <v>40</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c r="A274" t="s">
        <v>33</v>
      </c>
      <c r="B274">
        <v>2020</v>
      </c>
      <c r="C274" t="s">
        <v>40</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c r="A275" t="s">
        <v>30</v>
      </c>
      <c r="B275">
        <v>2020</v>
      </c>
      <c r="C275" t="s">
        <v>41</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v>156.30000000000001</v>
      </c>
      <c r="V275" s="1">
        <v>146.4</v>
      </c>
      <c r="W275" s="1">
        <v>151.6</v>
      </c>
      <c r="X275" s="1">
        <v>159.1</v>
      </c>
      <c r="Y275" s="1">
        <v>144.6</v>
      </c>
      <c r="Z275" s="1">
        <v>152.80000000000001</v>
      </c>
      <c r="AA275" s="1">
        <v>161.1</v>
      </c>
      <c r="AB275" s="1">
        <v>157.4</v>
      </c>
      <c r="AC275" s="1">
        <v>153.69999999999999</v>
      </c>
      <c r="AD275" s="1">
        <v>155.4</v>
      </c>
    </row>
    <row r="276" spans="1:30">
      <c r="A276" t="s">
        <v>32</v>
      </c>
      <c r="B276">
        <v>2020</v>
      </c>
      <c r="C276" t="s">
        <v>41</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c r="A277" t="s">
        <v>33</v>
      </c>
      <c r="B277">
        <v>2020</v>
      </c>
      <c r="C277" t="s">
        <v>41</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c r="A278" t="s">
        <v>30</v>
      </c>
      <c r="B278">
        <v>2020</v>
      </c>
      <c r="C278" t="s">
        <v>42</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v>156.5</v>
      </c>
      <c r="V278" s="1">
        <v>146.80000000000001</v>
      </c>
      <c r="W278" s="1">
        <v>152</v>
      </c>
      <c r="X278" s="1">
        <v>159.5</v>
      </c>
      <c r="Y278" s="1">
        <v>146.4</v>
      </c>
      <c r="Z278" s="1">
        <v>152.4</v>
      </c>
      <c r="AA278" s="1">
        <v>162.5</v>
      </c>
      <c r="AB278" s="1">
        <v>156.19999999999999</v>
      </c>
      <c r="AC278" s="1">
        <v>154.30000000000001</v>
      </c>
      <c r="AD278" s="1">
        <v>157.5</v>
      </c>
    </row>
    <row r="279" spans="1:30">
      <c r="A279" t="s">
        <v>32</v>
      </c>
      <c r="B279">
        <v>2020</v>
      </c>
      <c r="C279" t="s">
        <v>42</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c r="A280" t="s">
        <v>33</v>
      </c>
      <c r="B280">
        <v>2020</v>
      </c>
      <c r="C280" t="s">
        <v>42</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c r="A281" t="s">
        <v>30</v>
      </c>
      <c r="B281">
        <v>2020</v>
      </c>
      <c r="C28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v>158</v>
      </c>
      <c r="V281" s="1">
        <v>147.5</v>
      </c>
      <c r="W281" s="1">
        <v>152.80000000000001</v>
      </c>
      <c r="X281" s="1">
        <v>160.4</v>
      </c>
      <c r="Y281" s="1">
        <v>146.1</v>
      </c>
      <c r="Z281" s="1">
        <v>153.6</v>
      </c>
      <c r="AA281" s="1">
        <v>161.6</v>
      </c>
      <c r="AB281" s="1">
        <v>156.19999999999999</v>
      </c>
      <c r="AC281" s="1">
        <v>154.5</v>
      </c>
      <c r="AD281" s="1">
        <v>159.80000000000001</v>
      </c>
    </row>
    <row r="282" spans="1:30">
      <c r="A282" t="s">
        <v>32</v>
      </c>
      <c r="B282">
        <v>2020</v>
      </c>
      <c r="C282"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c r="A283" t="s">
        <v>33</v>
      </c>
      <c r="B283">
        <v>2020</v>
      </c>
      <c r="C283"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c r="A284" t="s">
        <v>30</v>
      </c>
      <c r="B284">
        <v>2020</v>
      </c>
      <c r="C284"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v>158.4</v>
      </c>
      <c r="V284" s="1">
        <v>148.69999999999999</v>
      </c>
      <c r="W284" s="1">
        <v>153.4</v>
      </c>
      <c r="X284" s="1">
        <v>161.6</v>
      </c>
      <c r="Y284" s="1">
        <v>146.4</v>
      </c>
      <c r="Z284" s="1">
        <v>153.9</v>
      </c>
      <c r="AA284" s="1">
        <v>162.9</v>
      </c>
      <c r="AB284" s="1">
        <v>156.6</v>
      </c>
      <c r="AC284" s="1">
        <v>155.19999999999999</v>
      </c>
      <c r="AD284" s="1">
        <v>160.69999999999999</v>
      </c>
    </row>
    <row r="285" spans="1:30">
      <c r="A285" t="s">
        <v>32</v>
      </c>
      <c r="B285">
        <v>2020</v>
      </c>
      <c r="C285"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c r="A286" t="s">
        <v>33</v>
      </c>
      <c r="B286">
        <v>2020</v>
      </c>
      <c r="C286"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c r="A287" t="s">
        <v>30</v>
      </c>
      <c r="B287">
        <v>2021</v>
      </c>
      <c r="C287"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v>157.69999999999999</v>
      </c>
      <c r="V287" s="1">
        <v>150.9</v>
      </c>
      <c r="W287" s="1">
        <v>153.9</v>
      </c>
      <c r="X287" s="1">
        <v>162.5</v>
      </c>
      <c r="Y287" s="1">
        <v>147.5</v>
      </c>
      <c r="Z287" s="1">
        <v>155.1</v>
      </c>
      <c r="AA287" s="1">
        <v>163.5</v>
      </c>
      <c r="AB287" s="1">
        <v>156.19999999999999</v>
      </c>
      <c r="AC287" s="1">
        <v>155.9</v>
      </c>
      <c r="AD287" s="1">
        <v>158.5</v>
      </c>
    </row>
    <row r="288" spans="1:30">
      <c r="A288" t="s">
        <v>32</v>
      </c>
      <c r="B288">
        <v>2021</v>
      </c>
      <c r="C288"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c r="A289" t="s">
        <v>33</v>
      </c>
      <c r="B289">
        <v>2021</v>
      </c>
      <c r="C289"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c r="A290" t="s">
        <v>30</v>
      </c>
      <c r="B290">
        <v>2021</v>
      </c>
      <c r="C290" t="s">
        <v>34</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v>159.80000000000001</v>
      </c>
      <c r="V290" s="1">
        <v>154.4</v>
      </c>
      <c r="W290" s="1">
        <v>154.80000000000001</v>
      </c>
      <c r="X290" s="1">
        <v>164.3</v>
      </c>
      <c r="Y290" s="1">
        <v>150.19999999999999</v>
      </c>
      <c r="Z290" s="1">
        <v>157</v>
      </c>
      <c r="AA290" s="1">
        <v>163.6</v>
      </c>
      <c r="AB290" s="1">
        <v>155.19999999999999</v>
      </c>
      <c r="AC290" s="1">
        <v>157.19999999999999</v>
      </c>
      <c r="AD290" s="1">
        <v>156.69999999999999</v>
      </c>
    </row>
    <row r="291" spans="1:30">
      <c r="A291" t="s">
        <v>32</v>
      </c>
      <c r="B291">
        <v>2021</v>
      </c>
      <c r="C291" t="s">
        <v>34</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c r="A292" t="s">
        <v>33</v>
      </c>
      <c r="B292">
        <v>2021</v>
      </c>
      <c r="C292" t="s">
        <v>34</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c r="A293" t="s">
        <v>30</v>
      </c>
      <c r="B293">
        <v>2021</v>
      </c>
      <c r="C293" t="s">
        <v>35</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v>159.9</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c r="A294" t="s">
        <v>32</v>
      </c>
      <c r="B294">
        <v>2021</v>
      </c>
      <c r="C294" t="s">
        <v>35</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c r="A295" t="s">
        <v>33</v>
      </c>
      <c r="B295">
        <v>2021</v>
      </c>
      <c r="C295" t="s">
        <v>35</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c r="A296" t="s">
        <v>30</v>
      </c>
      <c r="B296">
        <v>2021</v>
      </c>
      <c r="C296" t="s">
        <v>36</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v>161.4</v>
      </c>
      <c r="V296" s="1">
        <v>156</v>
      </c>
      <c r="W296" s="1">
        <v>155.5</v>
      </c>
      <c r="X296" s="1">
        <v>165.3</v>
      </c>
      <c r="Y296" s="1">
        <v>151.69999999999999</v>
      </c>
      <c r="Z296" s="1">
        <v>158.6</v>
      </c>
      <c r="AA296" s="1">
        <v>164.1</v>
      </c>
      <c r="AB296" s="1">
        <v>154.6</v>
      </c>
      <c r="AC296" s="1">
        <v>158</v>
      </c>
      <c r="AD296" s="1">
        <v>157.6</v>
      </c>
    </row>
    <row r="297" spans="1:30">
      <c r="A297" t="s">
        <v>32</v>
      </c>
      <c r="B297">
        <v>2021</v>
      </c>
      <c r="C297" t="s">
        <v>36</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c r="A298" t="s">
        <v>33</v>
      </c>
      <c r="B298">
        <v>2021</v>
      </c>
      <c r="C298" t="s">
        <v>36</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c r="A299" t="s">
        <v>30</v>
      </c>
      <c r="B299">
        <v>2021</v>
      </c>
      <c r="C299" t="s">
        <v>37</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v>161.6</v>
      </c>
      <c r="V299" s="1">
        <v>161.69999999999999</v>
      </c>
      <c r="W299" s="1">
        <v>158.80000000000001</v>
      </c>
      <c r="X299" s="1">
        <v>169.1</v>
      </c>
      <c r="Y299" s="1">
        <v>153.19999999999999</v>
      </c>
      <c r="Z299" s="1">
        <v>160</v>
      </c>
      <c r="AA299" s="1">
        <v>167.6</v>
      </c>
      <c r="AB299" s="1">
        <v>159.30000000000001</v>
      </c>
      <c r="AC299" s="1">
        <v>161.1</v>
      </c>
      <c r="AD299" s="1">
        <v>161.1</v>
      </c>
    </row>
    <row r="300" spans="1:30">
      <c r="A300" t="s">
        <v>32</v>
      </c>
      <c r="B300">
        <v>2021</v>
      </c>
      <c r="C300" t="s">
        <v>37</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c r="A301" t="s">
        <v>33</v>
      </c>
      <c r="B301">
        <v>2021</v>
      </c>
      <c r="C301" t="s">
        <v>37</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c r="A302" t="s">
        <v>30</v>
      </c>
      <c r="B302">
        <v>2021</v>
      </c>
      <c r="C302" t="s">
        <v>38</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v>160.5</v>
      </c>
      <c r="V302" s="1">
        <v>162.1</v>
      </c>
      <c r="W302" s="1">
        <v>159.19999999999999</v>
      </c>
      <c r="X302" s="1">
        <v>169.7</v>
      </c>
      <c r="Y302" s="1">
        <v>154.19999999999999</v>
      </c>
      <c r="Z302" s="1">
        <v>160.4</v>
      </c>
      <c r="AA302" s="1">
        <v>166.8</v>
      </c>
      <c r="AB302" s="1">
        <v>159.4</v>
      </c>
      <c r="AC302" s="1">
        <v>161.5</v>
      </c>
      <c r="AD302" s="1">
        <v>162.1</v>
      </c>
    </row>
    <row r="303" spans="1:30">
      <c r="A303" t="s">
        <v>32</v>
      </c>
      <c r="B303">
        <v>2021</v>
      </c>
      <c r="C303" t="s">
        <v>38</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c r="A304" t="s">
        <v>33</v>
      </c>
      <c r="B304">
        <v>2021</v>
      </c>
      <c r="C304" t="s">
        <v>38</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c r="A305" t="s">
        <v>30</v>
      </c>
      <c r="B305">
        <v>2021</v>
      </c>
      <c r="C305" t="s">
        <v>39</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v>161.5</v>
      </c>
      <c r="V305" s="1">
        <v>162.5</v>
      </c>
      <c r="W305" s="1">
        <v>160.30000000000001</v>
      </c>
      <c r="X305" s="1">
        <v>170.4</v>
      </c>
      <c r="Y305" s="1">
        <v>157.1</v>
      </c>
      <c r="Z305" s="1">
        <v>160.69999999999999</v>
      </c>
      <c r="AA305" s="1">
        <v>167.2</v>
      </c>
      <c r="AB305" s="1">
        <v>160.4</v>
      </c>
      <c r="AC305" s="1">
        <v>162.80000000000001</v>
      </c>
      <c r="AD305" s="1">
        <v>163.19999999999999</v>
      </c>
    </row>
    <row r="306" spans="1:30">
      <c r="A306" t="s">
        <v>32</v>
      </c>
      <c r="B306">
        <v>2021</v>
      </c>
      <c r="C306" t="s">
        <v>39</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c r="A307" t="s">
        <v>33</v>
      </c>
      <c r="B307">
        <v>2021</v>
      </c>
      <c r="C307" t="s">
        <v>39</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c r="A308" t="s">
        <v>30</v>
      </c>
      <c r="B308">
        <v>2021</v>
      </c>
      <c r="C308" t="s">
        <v>40</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v>162.1</v>
      </c>
      <c r="V308" s="1">
        <v>163.1</v>
      </c>
      <c r="W308" s="1">
        <v>160.9</v>
      </c>
      <c r="X308" s="1">
        <v>171.1</v>
      </c>
      <c r="Y308" s="1">
        <v>157.69999999999999</v>
      </c>
      <c r="Z308" s="1">
        <v>161.1</v>
      </c>
      <c r="AA308" s="1">
        <v>167.5</v>
      </c>
      <c r="AB308" s="1">
        <v>160.30000000000001</v>
      </c>
      <c r="AC308" s="1">
        <v>163.30000000000001</v>
      </c>
      <c r="AD308" s="1">
        <v>163.6</v>
      </c>
    </row>
    <row r="309" spans="1:30">
      <c r="A309" t="s">
        <v>32</v>
      </c>
      <c r="B309">
        <v>2021</v>
      </c>
      <c r="C309" t="s">
        <v>40</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c r="A310" t="s">
        <v>33</v>
      </c>
      <c r="B310">
        <v>2021</v>
      </c>
      <c r="C310" t="s">
        <v>40</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c r="A311" t="s">
        <v>30</v>
      </c>
      <c r="B311">
        <v>2021</v>
      </c>
      <c r="C311" t="s">
        <v>41</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v>162.1</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c r="A312" t="s">
        <v>32</v>
      </c>
      <c r="B312">
        <v>2021</v>
      </c>
      <c r="C312" t="s">
        <v>41</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c r="A313" t="s">
        <v>33</v>
      </c>
      <c r="B313">
        <v>2021</v>
      </c>
      <c r="C313" t="s">
        <v>41</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c r="A314" t="s">
        <v>30</v>
      </c>
      <c r="B314">
        <v>2021</v>
      </c>
      <c r="C314" t="s">
        <v>42</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v>163.6</v>
      </c>
      <c r="V314" s="1">
        <v>165.5</v>
      </c>
      <c r="W314" s="1">
        <v>162</v>
      </c>
      <c r="X314" s="1">
        <v>172.5</v>
      </c>
      <c r="Y314" s="1">
        <v>159.5</v>
      </c>
      <c r="Z314" s="1">
        <v>163.19999999999999</v>
      </c>
      <c r="AA314" s="1">
        <v>169</v>
      </c>
      <c r="AB314" s="1">
        <v>161.1</v>
      </c>
      <c r="AC314" s="1">
        <v>164.7</v>
      </c>
      <c r="AD314" s="1">
        <v>166.3</v>
      </c>
    </row>
    <row r="315" spans="1:30">
      <c r="A315" t="s">
        <v>32</v>
      </c>
      <c r="B315">
        <v>2021</v>
      </c>
      <c r="C315" t="s">
        <v>42</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c r="A316" t="s">
        <v>33</v>
      </c>
      <c r="B316">
        <v>2021</v>
      </c>
      <c r="C316" t="s">
        <v>42</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c r="A317" t="s">
        <v>30</v>
      </c>
      <c r="B317">
        <v>2021</v>
      </c>
      <c r="C317"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v>164.2</v>
      </c>
      <c r="V317" s="1">
        <v>165.3</v>
      </c>
      <c r="W317" s="1">
        <v>162.9</v>
      </c>
      <c r="X317" s="1">
        <v>173.4</v>
      </c>
      <c r="Y317" s="1">
        <v>158.9</v>
      </c>
      <c r="Z317" s="1">
        <v>163.80000000000001</v>
      </c>
      <c r="AA317" s="1">
        <v>169.3</v>
      </c>
      <c r="AB317" s="1">
        <v>162.4</v>
      </c>
      <c r="AC317" s="1">
        <v>165.2</v>
      </c>
      <c r="AD317" s="1">
        <v>167.6</v>
      </c>
    </row>
    <row r="318" spans="1:30">
      <c r="A318" t="s">
        <v>32</v>
      </c>
      <c r="B318">
        <v>2021</v>
      </c>
      <c r="C318"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c r="A319" t="s">
        <v>33</v>
      </c>
      <c r="B319">
        <v>2021</v>
      </c>
      <c r="C319"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c r="A320" t="s">
        <v>30</v>
      </c>
      <c r="B320">
        <v>2021</v>
      </c>
      <c r="C320"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v>163.4</v>
      </c>
      <c r="V320" s="1">
        <v>165.6</v>
      </c>
      <c r="W320" s="1">
        <v>163.9</v>
      </c>
      <c r="X320" s="1">
        <v>174</v>
      </c>
      <c r="Y320" s="1">
        <v>160.1</v>
      </c>
      <c r="Z320" s="1">
        <v>164.5</v>
      </c>
      <c r="AA320" s="1">
        <v>169.7</v>
      </c>
      <c r="AB320" s="1">
        <v>162.80000000000001</v>
      </c>
      <c r="AC320" s="1">
        <v>166</v>
      </c>
      <c r="AD320" s="1">
        <v>167</v>
      </c>
    </row>
    <row r="321" spans="1:30">
      <c r="A321" t="s">
        <v>32</v>
      </c>
      <c r="B321">
        <v>2021</v>
      </c>
      <c r="C32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c r="A322" t="s">
        <v>33</v>
      </c>
      <c r="B322">
        <v>2021</v>
      </c>
      <c r="C322"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c r="A323" t="s">
        <v>30</v>
      </c>
      <c r="B323">
        <v>2022</v>
      </c>
      <c r="C323"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v>164.5</v>
      </c>
      <c r="V323" s="1">
        <v>165.8</v>
      </c>
      <c r="W323" s="1">
        <v>164.9</v>
      </c>
      <c r="X323" s="1">
        <v>174.7</v>
      </c>
      <c r="Y323" s="1">
        <v>160.80000000000001</v>
      </c>
      <c r="Z323" s="1">
        <v>164.9</v>
      </c>
      <c r="AA323" s="1">
        <v>169.9</v>
      </c>
      <c r="AB323" s="1">
        <v>163.19999999999999</v>
      </c>
      <c r="AC323" s="1">
        <v>166.6</v>
      </c>
      <c r="AD323" s="1">
        <v>166.4</v>
      </c>
    </row>
    <row r="324" spans="1:30">
      <c r="A324" t="s">
        <v>32</v>
      </c>
      <c r="B324">
        <v>2022</v>
      </c>
      <c r="C324"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c r="A325" t="s">
        <v>33</v>
      </c>
      <c r="B325">
        <v>2022</v>
      </c>
      <c r="C325"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c r="A326" t="s">
        <v>30</v>
      </c>
      <c r="B326">
        <v>2022</v>
      </c>
      <c r="C326" t="s">
        <v>34</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v>165.5</v>
      </c>
      <c r="V326" s="1">
        <v>167.4</v>
      </c>
      <c r="W326" s="1">
        <v>165.7</v>
      </c>
      <c r="X326" s="1">
        <v>175.3</v>
      </c>
      <c r="Y326" s="1">
        <v>161.19999999999999</v>
      </c>
      <c r="Z326" s="1">
        <v>165.5</v>
      </c>
      <c r="AA326" s="1">
        <v>170.3</v>
      </c>
      <c r="AB326" s="1">
        <v>164.5</v>
      </c>
      <c r="AC326" s="1">
        <v>167.3</v>
      </c>
      <c r="AD326" s="1">
        <v>166.7</v>
      </c>
    </row>
    <row r="327" spans="1:30">
      <c r="A327" t="s">
        <v>32</v>
      </c>
      <c r="B327">
        <v>2022</v>
      </c>
      <c r="C327" t="s">
        <v>34</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c r="A328" t="s">
        <v>33</v>
      </c>
      <c r="B328">
        <v>2022</v>
      </c>
      <c r="C328" t="s">
        <v>34</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c r="A329" t="s">
        <v>30</v>
      </c>
      <c r="B329">
        <v>2022</v>
      </c>
      <c r="C329" t="s">
        <v>35</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v>165.3</v>
      </c>
      <c r="V329" s="1">
        <v>168.9</v>
      </c>
      <c r="W329" s="1">
        <v>166.5</v>
      </c>
      <c r="X329" s="1">
        <v>176</v>
      </c>
      <c r="Y329" s="1">
        <v>162</v>
      </c>
      <c r="Z329" s="1">
        <v>166.6</v>
      </c>
      <c r="AA329" s="1">
        <v>170.6</v>
      </c>
      <c r="AB329" s="1">
        <v>167.4</v>
      </c>
      <c r="AC329" s="1">
        <v>168.3</v>
      </c>
      <c r="AD329" s="1">
        <v>168.7</v>
      </c>
    </row>
    <row r="330" spans="1:30">
      <c r="A330" t="s">
        <v>32</v>
      </c>
      <c r="B330">
        <v>2022</v>
      </c>
      <c r="C330" t="s">
        <v>35</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c r="A331" t="s">
        <v>33</v>
      </c>
      <c r="B331">
        <v>2022</v>
      </c>
      <c r="C331" t="s">
        <v>35</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c r="A332" t="s">
        <v>30</v>
      </c>
      <c r="B332">
        <v>2022</v>
      </c>
      <c r="C332" t="s">
        <v>36</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v>167</v>
      </c>
      <c r="V332" s="1">
        <v>173.3</v>
      </c>
      <c r="W332" s="1">
        <v>167.7</v>
      </c>
      <c r="X332" s="1">
        <v>177</v>
      </c>
      <c r="Y332" s="1">
        <v>166.2</v>
      </c>
      <c r="Z332" s="1">
        <v>167.2</v>
      </c>
      <c r="AA332" s="1">
        <v>170.9</v>
      </c>
      <c r="AB332" s="1">
        <v>169</v>
      </c>
      <c r="AC332" s="1">
        <v>170.2</v>
      </c>
      <c r="AD332" s="1">
        <v>170.8</v>
      </c>
    </row>
    <row r="333" spans="1:30">
      <c r="A333" t="s">
        <v>32</v>
      </c>
      <c r="B333">
        <v>2022</v>
      </c>
      <c r="C333" t="s">
        <v>36</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c r="A334" t="s">
        <v>33</v>
      </c>
      <c r="B334">
        <v>2022</v>
      </c>
      <c r="C334" t="s">
        <v>36</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c r="A335" t="s">
        <v>30</v>
      </c>
      <c r="B335">
        <v>2022</v>
      </c>
      <c r="C335" t="s">
        <v>37</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v>167.5</v>
      </c>
      <c r="V335" s="1">
        <v>175.3</v>
      </c>
      <c r="W335" s="1">
        <v>168.9</v>
      </c>
      <c r="X335" s="1">
        <v>177.7</v>
      </c>
      <c r="Y335" s="1">
        <v>167.1</v>
      </c>
      <c r="Z335" s="1">
        <v>167.6</v>
      </c>
      <c r="AA335" s="1">
        <v>171.8</v>
      </c>
      <c r="AB335" s="1">
        <v>168.5</v>
      </c>
      <c r="AC335" s="1">
        <v>170.9</v>
      </c>
      <c r="AD335" s="1">
        <v>172.5</v>
      </c>
    </row>
    <row r="336" spans="1:30">
      <c r="A336" t="s">
        <v>32</v>
      </c>
      <c r="B336">
        <v>2022</v>
      </c>
      <c r="C336" t="s">
        <v>37</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c r="A337" t="s">
        <v>33</v>
      </c>
      <c r="B337">
        <v>2022</v>
      </c>
      <c r="C337" t="s">
        <v>37</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c r="A338" t="s">
        <v>30</v>
      </c>
      <c r="B338">
        <v>2022</v>
      </c>
      <c r="C338" t="s">
        <v>38</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v>166.8</v>
      </c>
      <c r="V338" s="1">
        <v>176.7</v>
      </c>
      <c r="W338" s="1">
        <v>170.3</v>
      </c>
      <c r="X338" s="1">
        <v>178.2</v>
      </c>
      <c r="Y338" s="1">
        <v>165.5</v>
      </c>
      <c r="Z338" s="1">
        <v>168</v>
      </c>
      <c r="AA338" s="1">
        <v>172.6</v>
      </c>
      <c r="AB338" s="1">
        <v>169.5</v>
      </c>
      <c r="AC338" s="1">
        <v>171</v>
      </c>
      <c r="AD338" s="1">
        <v>173.6</v>
      </c>
    </row>
    <row r="339" spans="1:30">
      <c r="A339" t="s">
        <v>32</v>
      </c>
      <c r="B339">
        <v>2022</v>
      </c>
      <c r="C339" t="s">
        <v>38</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c r="A340" t="s">
        <v>33</v>
      </c>
      <c r="B340">
        <v>2022</v>
      </c>
      <c r="C340" t="s">
        <v>38</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c r="A341" t="s">
        <v>30</v>
      </c>
      <c r="B341">
        <v>2022</v>
      </c>
      <c r="C341" t="s">
        <v>39</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v>167.8</v>
      </c>
      <c r="V341" s="1">
        <v>179.6</v>
      </c>
      <c r="W341" s="1">
        <v>171.3</v>
      </c>
      <c r="X341" s="1">
        <v>178.8</v>
      </c>
      <c r="Y341" s="1">
        <v>166.3</v>
      </c>
      <c r="Z341" s="1">
        <v>168.6</v>
      </c>
      <c r="AA341" s="1">
        <v>174.7</v>
      </c>
      <c r="AB341" s="1">
        <v>169.7</v>
      </c>
      <c r="AC341" s="1">
        <v>171.8</v>
      </c>
      <c r="AD341" s="1">
        <v>174.3</v>
      </c>
    </row>
    <row r="342" spans="1:30">
      <c r="A342" t="s">
        <v>32</v>
      </c>
      <c r="B342">
        <v>2022</v>
      </c>
      <c r="C342" t="s">
        <v>39</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c r="A343" t="s">
        <v>33</v>
      </c>
      <c r="B343">
        <v>2022</v>
      </c>
      <c r="C343" t="s">
        <v>39</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c r="A344" t="s">
        <v>30</v>
      </c>
      <c r="B344">
        <v>2022</v>
      </c>
      <c r="C344" t="s">
        <v>40</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v>169</v>
      </c>
      <c r="V344" s="1">
        <v>179.1</v>
      </c>
      <c r="W344" s="1">
        <v>172.3</v>
      </c>
      <c r="X344" s="1">
        <v>179.4</v>
      </c>
      <c r="Y344" s="1">
        <v>166.6</v>
      </c>
      <c r="Z344" s="1">
        <v>169.3</v>
      </c>
      <c r="AA344" s="1">
        <v>175.7</v>
      </c>
      <c r="AB344" s="1">
        <v>171.1</v>
      </c>
      <c r="AC344" s="1">
        <v>172.6</v>
      </c>
      <c r="AD344" s="1">
        <v>175.3</v>
      </c>
    </row>
    <row r="345" spans="1:30">
      <c r="A345" t="s">
        <v>32</v>
      </c>
      <c r="B345">
        <v>2022</v>
      </c>
      <c r="C345" t="s">
        <v>40</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c r="A346" t="s">
        <v>33</v>
      </c>
      <c r="B346">
        <v>2022</v>
      </c>
      <c r="C346" t="s">
        <v>40</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c r="A347" t="s">
        <v>30</v>
      </c>
      <c r="B347">
        <v>2022</v>
      </c>
      <c r="C347" t="s">
        <v>41</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v>169.5</v>
      </c>
      <c r="V347" s="1">
        <v>179.7</v>
      </c>
      <c r="W347" s="1">
        <v>173.6</v>
      </c>
      <c r="X347" s="1">
        <v>180.2</v>
      </c>
      <c r="Y347" s="1">
        <v>166.9</v>
      </c>
      <c r="Z347" s="1">
        <v>170</v>
      </c>
      <c r="AA347" s="1">
        <v>176.2</v>
      </c>
      <c r="AB347" s="1">
        <v>170.8</v>
      </c>
      <c r="AC347" s="1">
        <v>173.1</v>
      </c>
      <c r="AD347" s="1">
        <v>176.4</v>
      </c>
    </row>
    <row r="348" spans="1:30">
      <c r="A348" t="s">
        <v>32</v>
      </c>
      <c r="B348">
        <v>2022</v>
      </c>
      <c r="C348" t="s">
        <v>41</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c r="A349" t="s">
        <v>33</v>
      </c>
      <c r="B349">
        <v>2022</v>
      </c>
      <c r="C349" t="s">
        <v>41</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c r="A350" t="s">
        <v>30</v>
      </c>
      <c r="B350">
        <v>2022</v>
      </c>
      <c r="C350" t="s">
        <v>42</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v>171.2</v>
      </c>
      <c r="V350" s="1">
        <v>180.8</v>
      </c>
      <c r="W350" s="1">
        <v>174.4</v>
      </c>
      <c r="X350" s="1">
        <v>181.2</v>
      </c>
      <c r="Y350" s="1">
        <v>167.4</v>
      </c>
      <c r="Z350" s="1">
        <v>170.6</v>
      </c>
      <c r="AA350" s="1">
        <v>176.5</v>
      </c>
      <c r="AB350" s="1">
        <v>172</v>
      </c>
      <c r="AC350" s="1">
        <v>173.9</v>
      </c>
      <c r="AD350" s="1">
        <v>177.9</v>
      </c>
    </row>
    <row r="351" spans="1:30">
      <c r="A351" t="s">
        <v>32</v>
      </c>
      <c r="B351">
        <v>2022</v>
      </c>
      <c r="C351" t="s">
        <v>42</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c r="A352" t="s">
        <v>33</v>
      </c>
      <c r="B352">
        <v>2022</v>
      </c>
      <c r="C352" t="s">
        <v>42</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c r="A353" t="s">
        <v>30</v>
      </c>
      <c r="B353">
        <v>2022</v>
      </c>
      <c r="C353"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v>171.8</v>
      </c>
      <c r="V353" s="1">
        <v>181.9</v>
      </c>
      <c r="W353" s="1">
        <v>175.5</v>
      </c>
      <c r="X353" s="1">
        <v>182.3</v>
      </c>
      <c r="Y353" s="1">
        <v>167.5</v>
      </c>
      <c r="Z353" s="1">
        <v>170.8</v>
      </c>
      <c r="AA353" s="1">
        <v>176.9</v>
      </c>
      <c r="AB353" s="1">
        <v>173.4</v>
      </c>
      <c r="AC353" s="1">
        <v>174.6</v>
      </c>
      <c r="AD353" s="1">
        <v>177.8</v>
      </c>
    </row>
    <row r="354" spans="1:30">
      <c r="A354" t="s">
        <v>32</v>
      </c>
      <c r="B354">
        <v>2022</v>
      </c>
      <c r="C354"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c r="A355" t="s">
        <v>33</v>
      </c>
      <c r="B355">
        <v>2022</v>
      </c>
      <c r="C355"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c r="A356" t="s">
        <v>30</v>
      </c>
      <c r="B356">
        <v>2022</v>
      </c>
      <c r="C356"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v>170.7</v>
      </c>
      <c r="V356" s="1">
        <v>182.8</v>
      </c>
      <c r="W356" s="1">
        <v>176.4</v>
      </c>
      <c r="X356" s="1">
        <v>183.5</v>
      </c>
      <c r="Y356" s="1">
        <v>167.8</v>
      </c>
      <c r="Z356" s="1">
        <v>171.2</v>
      </c>
      <c r="AA356" s="1">
        <v>177.3</v>
      </c>
      <c r="AB356" s="1">
        <v>175.7</v>
      </c>
      <c r="AC356" s="1">
        <v>175.5</v>
      </c>
      <c r="AD356" s="1">
        <v>177.1</v>
      </c>
    </row>
    <row r="357" spans="1:30">
      <c r="A357" t="s">
        <v>32</v>
      </c>
      <c r="B357">
        <v>2022</v>
      </c>
      <c r="C357"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c r="A358" t="s">
        <v>33</v>
      </c>
      <c r="B358">
        <v>2022</v>
      </c>
      <c r="C358"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c r="A359" t="s">
        <v>30</v>
      </c>
      <c r="B359">
        <v>2023</v>
      </c>
      <c r="C359"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v>172.1</v>
      </c>
      <c r="V359" s="1">
        <v>183.2</v>
      </c>
      <c r="W359" s="1">
        <v>177.2</v>
      </c>
      <c r="X359" s="1">
        <v>184.7</v>
      </c>
      <c r="Y359" s="1">
        <v>168.2</v>
      </c>
      <c r="Z359" s="1">
        <v>171.8</v>
      </c>
      <c r="AA359" s="1">
        <v>177.8</v>
      </c>
      <c r="AB359" s="1">
        <v>178.4</v>
      </c>
      <c r="AC359" s="1">
        <v>176.5</v>
      </c>
      <c r="AD359" s="1">
        <v>177.8</v>
      </c>
    </row>
    <row r="360" spans="1:30">
      <c r="A360" t="s">
        <v>32</v>
      </c>
      <c r="B360">
        <v>2023</v>
      </c>
      <c r="C360"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c r="A361" t="s">
        <v>33</v>
      </c>
      <c r="B361">
        <v>2023</v>
      </c>
      <c r="C36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c r="A362" t="s">
        <v>30</v>
      </c>
      <c r="B362">
        <v>2023</v>
      </c>
      <c r="C362" t="s">
        <v>34</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v>173.5</v>
      </c>
      <c r="V362" s="1">
        <v>181.6</v>
      </c>
      <c r="W362" s="1">
        <v>178.6</v>
      </c>
      <c r="X362" s="1">
        <v>186.6</v>
      </c>
      <c r="Y362" s="1">
        <v>169</v>
      </c>
      <c r="Z362" s="1">
        <v>172.8</v>
      </c>
      <c r="AA362" s="1">
        <v>178.5</v>
      </c>
      <c r="AB362" s="1">
        <v>180.7</v>
      </c>
      <c r="AC362" s="1">
        <v>177.9</v>
      </c>
      <c r="AD362" s="1">
        <v>178</v>
      </c>
    </row>
    <row r="363" spans="1:30">
      <c r="A363" t="s">
        <v>32</v>
      </c>
      <c r="B363">
        <v>2023</v>
      </c>
      <c r="C363" t="s">
        <v>34</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c r="A364" t="s">
        <v>33</v>
      </c>
      <c r="B364">
        <v>2023</v>
      </c>
      <c r="C364" t="s">
        <v>34</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c r="A365" t="s">
        <v>30</v>
      </c>
      <c r="B365">
        <v>2023</v>
      </c>
      <c r="C365" t="s">
        <v>35</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v>173.5</v>
      </c>
      <c r="V365" s="1">
        <v>181.4</v>
      </c>
      <c r="W365" s="1">
        <v>178.6</v>
      </c>
      <c r="X365" s="1">
        <v>186.6</v>
      </c>
      <c r="Y365" s="1">
        <v>169</v>
      </c>
      <c r="Z365" s="1">
        <v>172.8</v>
      </c>
      <c r="AA365" s="1">
        <v>178.5</v>
      </c>
      <c r="AB365" s="1">
        <v>180.7</v>
      </c>
      <c r="AC365" s="1">
        <v>177.9</v>
      </c>
      <c r="AD365" s="1">
        <v>178</v>
      </c>
    </row>
    <row r="366" spans="1:30">
      <c r="A366" t="s">
        <v>32</v>
      </c>
      <c r="B366">
        <v>2023</v>
      </c>
      <c r="C366" t="s">
        <v>35</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c r="A367" t="s">
        <v>33</v>
      </c>
      <c r="B367">
        <v>2023</v>
      </c>
      <c r="C367" t="s">
        <v>35</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c r="A368" t="s">
        <v>30</v>
      </c>
      <c r="B368">
        <v>2023</v>
      </c>
      <c r="C368" t="s">
        <v>36</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v>175.2</v>
      </c>
      <c r="V368" s="1">
        <v>181.5</v>
      </c>
      <c r="W368" s="1">
        <v>179.1</v>
      </c>
      <c r="X368" s="1">
        <v>187.2</v>
      </c>
      <c r="Y368" s="1">
        <v>169.4</v>
      </c>
      <c r="Z368" s="1">
        <v>173.2</v>
      </c>
      <c r="AA368" s="1">
        <v>179.4</v>
      </c>
      <c r="AB368" s="1">
        <v>183.8</v>
      </c>
      <c r="AC368" s="1">
        <v>178.9</v>
      </c>
      <c r="AD368" s="1">
        <v>178.8</v>
      </c>
    </row>
    <row r="369" spans="1:30">
      <c r="A369" t="s">
        <v>32</v>
      </c>
      <c r="B369">
        <v>2023</v>
      </c>
      <c r="C369" t="s">
        <v>36</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c r="A370" t="s">
        <v>33</v>
      </c>
      <c r="B370">
        <v>2023</v>
      </c>
      <c r="C370" t="s">
        <v>36</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c r="A371" t="s">
        <v>30</v>
      </c>
      <c r="B371">
        <v>2023</v>
      </c>
      <c r="C371" t="s">
        <v>37</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v>175.6</v>
      </c>
      <c r="V371" s="1">
        <v>182.5</v>
      </c>
      <c r="W371" s="1">
        <v>179.8</v>
      </c>
      <c r="X371" s="1">
        <v>187.8</v>
      </c>
      <c r="Y371" s="1">
        <v>169.7</v>
      </c>
      <c r="Z371" s="1">
        <v>173.8</v>
      </c>
      <c r="AA371" s="1">
        <v>180.3</v>
      </c>
      <c r="AB371" s="1">
        <v>184.9</v>
      </c>
      <c r="AC371" s="1">
        <v>179.5</v>
      </c>
      <c r="AD371" s="1">
        <v>179.8</v>
      </c>
    </row>
    <row r="372" spans="1:30">
      <c r="A372" t="s">
        <v>32</v>
      </c>
      <c r="B372">
        <v>2023</v>
      </c>
      <c r="C372" t="s">
        <v>37</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c r="A373" t="s">
        <v>33</v>
      </c>
      <c r="B373">
        <v>2023</v>
      </c>
      <c r="C373" t="s">
        <v>37</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1D29-158E-46A0-9819-4786E96FF3DD}">
  <dimension ref="A4:B30"/>
  <sheetViews>
    <sheetView topLeftCell="A4" workbookViewId="0">
      <selection activeCell="D9" sqref="D9"/>
    </sheetView>
  </sheetViews>
  <sheetFormatPr defaultRowHeight="14.4"/>
  <cols>
    <col min="1" max="1" width="30.77734375" bestFit="1" customWidth="1"/>
    <col min="2" max="2" width="15" bestFit="1" customWidth="1"/>
  </cols>
  <sheetData>
    <row r="4" spans="1:2">
      <c r="A4" s="1" t="s">
        <v>3</v>
      </c>
      <c r="B4" t="s">
        <v>46</v>
      </c>
    </row>
    <row r="5" spans="1:2">
      <c r="A5" s="1" t="s">
        <v>4</v>
      </c>
      <c r="B5" t="s">
        <v>46</v>
      </c>
    </row>
    <row r="6" spans="1:2">
      <c r="A6" s="1" t="s">
        <v>5</v>
      </c>
      <c r="B6" t="s">
        <v>46</v>
      </c>
    </row>
    <row r="7" spans="1:2">
      <c r="A7" s="1" t="s">
        <v>6</v>
      </c>
      <c r="B7" t="s">
        <v>46</v>
      </c>
    </row>
    <row r="8" spans="1:2">
      <c r="A8" s="1" t="s">
        <v>7</v>
      </c>
      <c r="B8" t="s">
        <v>46</v>
      </c>
    </row>
    <row r="9" spans="1:2">
      <c r="A9" s="1" t="s">
        <v>8</v>
      </c>
      <c r="B9" t="s">
        <v>46</v>
      </c>
    </row>
    <row r="10" spans="1:2">
      <c r="A10" s="1" t="s">
        <v>9</v>
      </c>
      <c r="B10" t="s">
        <v>46</v>
      </c>
    </row>
    <row r="11" spans="1:2">
      <c r="A11" s="1" t="s">
        <v>10</v>
      </c>
      <c r="B11" t="s">
        <v>46</v>
      </c>
    </row>
    <row r="12" spans="1:2">
      <c r="A12" s="1" t="s">
        <v>11</v>
      </c>
      <c r="B12" t="s">
        <v>46</v>
      </c>
    </row>
    <row r="13" spans="1:2">
      <c r="A13" s="1" t="s">
        <v>12</v>
      </c>
      <c r="B13" t="s">
        <v>46</v>
      </c>
    </row>
    <row r="14" spans="1:2">
      <c r="A14" s="1" t="s">
        <v>13</v>
      </c>
      <c r="B14" t="s">
        <v>46</v>
      </c>
    </row>
    <row r="15" spans="1:2">
      <c r="A15" s="1" t="s">
        <v>14</v>
      </c>
      <c r="B15" t="s">
        <v>46</v>
      </c>
    </row>
    <row r="16" spans="1:2">
      <c r="A16" s="1" t="s">
        <v>15</v>
      </c>
      <c r="B16" t="s">
        <v>46</v>
      </c>
    </row>
    <row r="17" spans="1:2">
      <c r="A17" s="1" t="s">
        <v>16</v>
      </c>
      <c r="B17" t="s">
        <v>47</v>
      </c>
    </row>
    <row r="18" spans="1:2">
      <c r="A18" s="1" t="s">
        <v>17</v>
      </c>
      <c r="B18" t="s">
        <v>48</v>
      </c>
    </row>
    <row r="19" spans="1:2">
      <c r="A19" s="1" t="s">
        <v>18</v>
      </c>
      <c r="B19" t="s">
        <v>48</v>
      </c>
    </row>
    <row r="20" spans="1:2">
      <c r="A20" s="1" t="s">
        <v>19</v>
      </c>
      <c r="B20" t="s">
        <v>48</v>
      </c>
    </row>
    <row r="21" spans="1:2">
      <c r="A21" s="1" t="s">
        <v>20</v>
      </c>
      <c r="B21" t="s">
        <v>49</v>
      </c>
    </row>
    <row r="22" spans="1:2">
      <c r="A22" s="1" t="s">
        <v>21</v>
      </c>
      <c r="B22" t="s">
        <v>50</v>
      </c>
    </row>
    <row r="23" spans="1:2">
      <c r="A23" s="1" t="s">
        <v>22</v>
      </c>
      <c r="B23" t="s">
        <v>49</v>
      </c>
    </row>
    <row r="24" spans="1:2">
      <c r="A24" s="1" t="s">
        <v>23</v>
      </c>
      <c r="B24" t="s">
        <v>52</v>
      </c>
    </row>
    <row r="25" spans="1:2">
      <c r="A25" s="1" t="s">
        <v>24</v>
      </c>
      <c r="B25" t="s">
        <v>50</v>
      </c>
    </row>
    <row r="26" spans="1:2">
      <c r="A26" s="1" t="s">
        <v>25</v>
      </c>
      <c r="B26" t="s">
        <v>47</v>
      </c>
    </row>
    <row r="27" spans="1:2">
      <c r="A27" s="1" t="s">
        <v>26</v>
      </c>
      <c r="B27" t="s">
        <v>49</v>
      </c>
    </row>
    <row r="28" spans="1:2">
      <c r="A28" s="1" t="s">
        <v>27</v>
      </c>
      <c r="B28" t="s">
        <v>52</v>
      </c>
    </row>
    <row r="29" spans="1:2">
      <c r="A29" s="1" t="s">
        <v>28</v>
      </c>
      <c r="B29" t="s">
        <v>47</v>
      </c>
    </row>
    <row r="30" spans="1:2">
      <c r="A30" s="1" t="s">
        <v>29</v>
      </c>
      <c r="B30"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57C8-810F-4533-A75E-DA7A050BB828}">
  <dimension ref="A1:J373"/>
  <sheetViews>
    <sheetView tabSelected="1" workbookViewId="0"/>
  </sheetViews>
  <sheetFormatPr defaultRowHeight="14.4"/>
  <cols>
    <col min="1" max="1" width="11.109375" bestFit="1" customWidth="1"/>
    <col min="2" max="2" width="6.5546875" customWidth="1"/>
    <col min="3" max="3" width="9.77734375" bestFit="1" customWidth="1"/>
    <col min="4" max="4" width="14.5546875" bestFit="1" customWidth="1"/>
    <col min="6" max="6" width="17.109375" customWidth="1"/>
    <col min="7" max="7" width="10.33203125" customWidth="1"/>
    <col min="8" max="8" width="11.109375" customWidth="1"/>
    <col min="9" max="9" width="12.88671875" customWidth="1"/>
    <col min="10" max="10" width="15.109375" customWidth="1"/>
  </cols>
  <sheetData>
    <row r="1" spans="1:10" s="27" customFormat="1" ht="15.6">
      <c r="A1" s="29" t="s">
        <v>0</v>
      </c>
      <c r="B1" s="29" t="s">
        <v>1</v>
      </c>
      <c r="C1" s="29" t="s">
        <v>2</v>
      </c>
      <c r="D1" s="32" t="s">
        <v>136</v>
      </c>
      <c r="E1" s="28" t="s">
        <v>46</v>
      </c>
      <c r="F1" s="29" t="s">
        <v>47</v>
      </c>
      <c r="G1" s="29" t="s">
        <v>48</v>
      </c>
      <c r="H1" s="29" t="s">
        <v>49</v>
      </c>
      <c r="I1" s="29" t="s">
        <v>50</v>
      </c>
      <c r="J1" s="29" t="s">
        <v>52</v>
      </c>
    </row>
    <row r="2" spans="1:10" hidden="1">
      <c r="A2" t="s">
        <v>30</v>
      </c>
      <c r="B2">
        <v>2013</v>
      </c>
      <c r="C2" t="s">
        <v>31</v>
      </c>
      <c r="D2" s="31" t="str">
        <f>CONCATENATE(B2,"-",C2)</f>
        <v>2013-January</v>
      </c>
      <c r="E2" s="1">
        <v>1371.6999999999998</v>
      </c>
      <c r="F2" s="1">
        <v>312.5</v>
      </c>
      <c r="G2" s="1">
        <v>318.70000000000005</v>
      </c>
      <c r="H2" s="1">
        <v>308.89999999999998</v>
      </c>
      <c r="I2" s="1">
        <v>208.8</v>
      </c>
      <c r="J2" s="1">
        <v>208.7</v>
      </c>
    </row>
    <row r="3" spans="1:10" hidden="1">
      <c r="A3" t="s">
        <v>32</v>
      </c>
      <c r="B3">
        <v>2013</v>
      </c>
      <c r="C3" t="s">
        <v>31</v>
      </c>
      <c r="D3" s="31" t="str">
        <f t="shared" ref="D3:D66" si="0">CONCATENATE(B3,"-",C3)</f>
        <v>2013-January</v>
      </c>
      <c r="E3" s="1">
        <v>1376.4</v>
      </c>
      <c r="F3" s="1">
        <v>311.8</v>
      </c>
      <c r="G3" s="1">
        <v>316.7</v>
      </c>
      <c r="H3" s="1">
        <v>308.60000000000002</v>
      </c>
      <c r="I3" s="1">
        <v>208.60000000000002</v>
      </c>
      <c r="J3" s="1">
        <v>208.39999999999998</v>
      </c>
    </row>
    <row r="4" spans="1:10">
      <c r="A4" t="s">
        <v>33</v>
      </c>
      <c r="B4">
        <v>2013</v>
      </c>
      <c r="C4" t="s">
        <v>31</v>
      </c>
      <c r="D4" s="31" t="str">
        <f t="shared" si="0"/>
        <v>2013-January</v>
      </c>
      <c r="E4" s="1">
        <v>1373.3000000000002</v>
      </c>
      <c r="F4" s="1">
        <v>312.10000000000002</v>
      </c>
      <c r="G4" s="1">
        <v>318</v>
      </c>
      <c r="H4" s="1">
        <v>308.7</v>
      </c>
      <c r="I4" s="1">
        <v>208.7</v>
      </c>
      <c r="J4" s="1">
        <v>208.5</v>
      </c>
    </row>
    <row r="5" spans="1:10" hidden="1">
      <c r="A5" t="s">
        <v>30</v>
      </c>
      <c r="B5">
        <v>2013</v>
      </c>
      <c r="C5" t="s">
        <v>34</v>
      </c>
      <c r="D5" s="31" t="str">
        <f t="shared" si="0"/>
        <v>2013-February</v>
      </c>
      <c r="E5" s="1">
        <v>1380.3999999999999</v>
      </c>
      <c r="F5" s="1">
        <v>314</v>
      </c>
      <c r="G5" s="1">
        <v>320.39999999999998</v>
      </c>
      <c r="H5" s="1">
        <v>309.70000000000005</v>
      </c>
      <c r="I5" s="1">
        <v>210.10000000000002</v>
      </c>
      <c r="J5" s="1">
        <v>209</v>
      </c>
    </row>
    <row r="6" spans="1:10" hidden="1">
      <c r="A6" t="s">
        <v>32</v>
      </c>
      <c r="B6">
        <v>2013</v>
      </c>
      <c r="C6" t="s">
        <v>34</v>
      </c>
      <c r="D6" s="31" t="str">
        <f t="shared" si="0"/>
        <v>2013-February</v>
      </c>
      <c r="E6" s="1">
        <v>1390.6000000000001</v>
      </c>
      <c r="F6" s="1">
        <v>313.60000000000002</v>
      </c>
      <c r="G6" s="1">
        <v>318.5</v>
      </c>
      <c r="H6" s="1">
        <v>309.3</v>
      </c>
      <c r="I6" s="1">
        <v>210.10000000000002</v>
      </c>
      <c r="J6" s="1">
        <v>209</v>
      </c>
    </row>
    <row r="7" spans="1:10">
      <c r="A7" t="s">
        <v>33</v>
      </c>
      <c r="B7">
        <v>2013</v>
      </c>
      <c r="C7" t="s">
        <v>34</v>
      </c>
      <c r="D7" s="31" t="str">
        <f t="shared" si="0"/>
        <v>2013-February</v>
      </c>
      <c r="E7" s="1">
        <v>1384.2</v>
      </c>
      <c r="F7" s="1">
        <v>313.70000000000005</v>
      </c>
      <c r="G7" s="1">
        <v>319.7</v>
      </c>
      <c r="H7" s="1">
        <v>309.5</v>
      </c>
      <c r="I7" s="1">
        <v>210.2</v>
      </c>
      <c r="J7" s="1">
        <v>209</v>
      </c>
    </row>
    <row r="8" spans="1:10" hidden="1">
      <c r="A8" t="s">
        <v>30</v>
      </c>
      <c r="B8">
        <v>2013</v>
      </c>
      <c r="C8" t="s">
        <v>35</v>
      </c>
      <c r="D8" s="31" t="str">
        <f t="shared" si="0"/>
        <v>2013-March</v>
      </c>
      <c r="E8" s="1">
        <v>1382.2</v>
      </c>
      <c r="F8" s="1">
        <v>315.10000000000002</v>
      </c>
      <c r="G8" s="1">
        <v>321.89999999999998</v>
      </c>
      <c r="H8" s="1">
        <v>310.3</v>
      </c>
      <c r="I8" s="1">
        <v>210.7</v>
      </c>
      <c r="J8" s="1">
        <v>209</v>
      </c>
    </row>
    <row r="9" spans="1:10" hidden="1">
      <c r="A9" t="s">
        <v>32</v>
      </c>
      <c r="B9">
        <v>2013</v>
      </c>
      <c r="C9" t="s">
        <v>35</v>
      </c>
      <c r="D9" s="31" t="str">
        <f t="shared" si="0"/>
        <v>2013-March</v>
      </c>
      <c r="E9" s="1">
        <v>1386.8</v>
      </c>
      <c r="F9" s="1">
        <v>315.20000000000005</v>
      </c>
      <c r="G9" s="1">
        <v>320.2</v>
      </c>
      <c r="H9" s="1">
        <v>309.90000000000003</v>
      </c>
      <c r="I9" s="1">
        <v>211.5</v>
      </c>
      <c r="J9" s="1">
        <v>209.4</v>
      </c>
    </row>
    <row r="10" spans="1:10">
      <c r="A10" t="s">
        <v>33</v>
      </c>
      <c r="B10">
        <v>2013</v>
      </c>
      <c r="C10" t="s">
        <v>35</v>
      </c>
      <c r="D10" s="31" t="str">
        <f t="shared" si="0"/>
        <v>2013-March</v>
      </c>
      <c r="E10" s="1">
        <v>1384.0000000000002</v>
      </c>
      <c r="F10" s="1">
        <v>315</v>
      </c>
      <c r="G10" s="1">
        <v>321.2</v>
      </c>
      <c r="H10" s="1">
        <v>310</v>
      </c>
      <c r="I10" s="1">
        <v>211.2</v>
      </c>
      <c r="J10" s="1">
        <v>209.2</v>
      </c>
    </row>
    <row r="11" spans="1:10" hidden="1">
      <c r="A11" t="s">
        <v>30</v>
      </c>
      <c r="B11">
        <v>2013</v>
      </c>
      <c r="C11" t="s">
        <v>36</v>
      </c>
      <c r="D11" s="31" t="str">
        <f t="shared" si="0"/>
        <v>2013-April</v>
      </c>
      <c r="E11" s="1">
        <v>1385.8</v>
      </c>
      <c r="F11" s="1">
        <v>316.2</v>
      </c>
      <c r="G11" s="1">
        <v>323.5</v>
      </c>
      <c r="H11" s="1">
        <v>311.39999999999998</v>
      </c>
      <c r="I11" s="1">
        <v>210.9</v>
      </c>
      <c r="J11" s="1">
        <v>207.8</v>
      </c>
    </row>
    <row r="12" spans="1:10" hidden="1">
      <c r="A12" t="s">
        <v>32</v>
      </c>
      <c r="B12">
        <v>2013</v>
      </c>
      <c r="C12" t="s">
        <v>36</v>
      </c>
      <c r="D12" s="31" t="str">
        <f t="shared" si="0"/>
        <v>2013-April</v>
      </c>
      <c r="E12" s="1">
        <v>1397.6999999999998</v>
      </c>
      <c r="F12" s="1">
        <v>317.60000000000002</v>
      </c>
      <c r="G12" s="1">
        <v>322</v>
      </c>
      <c r="H12" s="1">
        <v>312.2</v>
      </c>
      <c r="I12" s="1">
        <v>211.4</v>
      </c>
      <c r="J12" s="1">
        <v>208.9</v>
      </c>
    </row>
    <row r="13" spans="1:10">
      <c r="A13" t="s">
        <v>33</v>
      </c>
      <c r="B13">
        <v>2013</v>
      </c>
      <c r="C13" t="s">
        <v>36</v>
      </c>
      <c r="D13" s="31" t="str">
        <f t="shared" si="0"/>
        <v>2013-April</v>
      </c>
      <c r="E13" s="1">
        <v>1390.2</v>
      </c>
      <c r="F13" s="1">
        <v>316.5</v>
      </c>
      <c r="G13" s="1">
        <v>322.89999999999998</v>
      </c>
      <c r="H13" s="1">
        <v>311.8</v>
      </c>
      <c r="I13" s="1">
        <v>211.2</v>
      </c>
      <c r="J13" s="1">
        <v>208.2</v>
      </c>
    </row>
    <row r="14" spans="1:10" hidden="1">
      <c r="A14" t="s">
        <v>30</v>
      </c>
      <c r="B14">
        <v>2013</v>
      </c>
      <c r="C14" t="s">
        <v>37</v>
      </c>
      <c r="D14" s="31" t="str">
        <f t="shared" si="0"/>
        <v>2013-May</v>
      </c>
      <c r="E14" s="1">
        <v>1394</v>
      </c>
      <c r="F14" s="1">
        <v>317.89999999999998</v>
      </c>
      <c r="G14" s="1">
        <v>325.29999999999995</v>
      </c>
      <c r="H14" s="1">
        <v>312.8</v>
      </c>
      <c r="I14" s="1">
        <v>211.6</v>
      </c>
      <c r="J14" s="1">
        <v>207.8</v>
      </c>
    </row>
    <row r="15" spans="1:10" hidden="1">
      <c r="A15" t="s">
        <v>32</v>
      </c>
      <c r="B15">
        <v>2013</v>
      </c>
      <c r="C15" t="s">
        <v>37</v>
      </c>
      <c r="D15" s="31" t="str">
        <f t="shared" si="0"/>
        <v>2013-May</v>
      </c>
      <c r="E15" s="1">
        <v>1417.1999999999998</v>
      </c>
      <c r="F15" s="1">
        <v>319.29999999999995</v>
      </c>
      <c r="G15" s="1">
        <v>323.5</v>
      </c>
      <c r="H15" s="1">
        <v>313.3</v>
      </c>
      <c r="I15" s="1">
        <v>211.10000000000002</v>
      </c>
      <c r="J15" s="1">
        <v>208.8</v>
      </c>
    </row>
    <row r="16" spans="1:10">
      <c r="A16" t="s">
        <v>33</v>
      </c>
      <c r="B16">
        <v>2013</v>
      </c>
      <c r="C16" t="s">
        <v>37</v>
      </c>
      <c r="D16" s="31" t="str">
        <f t="shared" si="0"/>
        <v>2013-May</v>
      </c>
      <c r="E16" s="1">
        <v>1402.1999999999998</v>
      </c>
      <c r="F16" s="1">
        <v>318.2</v>
      </c>
      <c r="G16" s="1">
        <v>324.60000000000002</v>
      </c>
      <c r="H16" s="1">
        <v>313</v>
      </c>
      <c r="I16" s="1">
        <v>211.4</v>
      </c>
      <c r="J16" s="1">
        <v>208.2</v>
      </c>
    </row>
    <row r="17" spans="1:10" hidden="1">
      <c r="A17" t="s">
        <v>30</v>
      </c>
      <c r="B17">
        <v>2013</v>
      </c>
      <c r="C17" t="s">
        <v>38</v>
      </c>
      <c r="D17" s="31" t="str">
        <f t="shared" si="0"/>
        <v>2013-June</v>
      </c>
      <c r="E17" s="1">
        <v>1420</v>
      </c>
      <c r="F17" s="1">
        <v>320.10000000000002</v>
      </c>
      <c r="G17" s="1">
        <v>328</v>
      </c>
      <c r="H17" s="1">
        <v>320.60000000000002</v>
      </c>
      <c r="I17" s="1">
        <v>213.5</v>
      </c>
      <c r="J17" s="1">
        <v>208.8</v>
      </c>
    </row>
    <row r="18" spans="1:10" hidden="1">
      <c r="A18" t="s">
        <v>32</v>
      </c>
      <c r="B18">
        <v>2013</v>
      </c>
      <c r="C18" t="s">
        <v>38</v>
      </c>
      <c r="D18" s="31" t="str">
        <f t="shared" si="0"/>
        <v>2013-June</v>
      </c>
      <c r="E18" s="1">
        <v>1464.6000000000001</v>
      </c>
      <c r="F18" s="1">
        <v>322.20000000000005</v>
      </c>
      <c r="G18" s="1">
        <v>325.3</v>
      </c>
      <c r="H18" s="1">
        <v>322.39999999999998</v>
      </c>
      <c r="I18" s="1">
        <v>213.2</v>
      </c>
      <c r="J18" s="1">
        <v>209.8</v>
      </c>
    </row>
    <row r="19" spans="1:10">
      <c r="A19" t="s">
        <v>33</v>
      </c>
      <c r="B19">
        <v>2013</v>
      </c>
      <c r="C19" t="s">
        <v>38</v>
      </c>
      <c r="D19" s="31" t="str">
        <f t="shared" si="0"/>
        <v>2013-June</v>
      </c>
      <c r="E19" s="1">
        <v>1436</v>
      </c>
      <c r="F19" s="1">
        <v>320.7</v>
      </c>
      <c r="G19" s="1">
        <v>326.89999999999998</v>
      </c>
      <c r="H19" s="1">
        <v>321.60000000000002</v>
      </c>
      <c r="I19" s="1">
        <v>213.39999999999998</v>
      </c>
      <c r="J19" s="1">
        <v>209.2</v>
      </c>
    </row>
    <row r="20" spans="1:10" hidden="1">
      <c r="A20" t="s">
        <v>30</v>
      </c>
      <c r="B20">
        <v>2013</v>
      </c>
      <c r="C20" t="s">
        <v>39</v>
      </c>
      <c r="D20" s="31" t="str">
        <f t="shared" si="0"/>
        <v>2013-July</v>
      </c>
      <c r="E20" s="1">
        <v>1445.8999999999996</v>
      </c>
      <c r="F20" s="1">
        <v>322.7</v>
      </c>
      <c r="G20" s="1">
        <v>330.3</v>
      </c>
      <c r="H20" s="1">
        <v>323.8</v>
      </c>
      <c r="I20" s="1">
        <v>216.3</v>
      </c>
      <c r="J20" s="1">
        <v>209.4</v>
      </c>
    </row>
    <row r="21" spans="1:10" hidden="1">
      <c r="A21" t="s">
        <v>32</v>
      </c>
      <c r="B21">
        <v>2013</v>
      </c>
      <c r="C21" t="s">
        <v>39</v>
      </c>
      <c r="D21" s="31" t="str">
        <f t="shared" si="0"/>
        <v>2013-July</v>
      </c>
      <c r="E21" s="1">
        <v>1489.4</v>
      </c>
      <c r="F21" s="1">
        <v>324.90000000000003</v>
      </c>
      <c r="G21" s="1">
        <v>327.10000000000002</v>
      </c>
      <c r="H21" s="1">
        <v>325.89999999999998</v>
      </c>
      <c r="I21" s="1">
        <v>215.89999999999998</v>
      </c>
      <c r="J21" s="1">
        <v>210.3</v>
      </c>
    </row>
    <row r="22" spans="1:10">
      <c r="A22" t="s">
        <v>33</v>
      </c>
      <c r="B22">
        <v>2013</v>
      </c>
      <c r="C22" t="s">
        <v>39</v>
      </c>
      <c r="D22" s="31" t="str">
        <f t="shared" si="0"/>
        <v>2013-July</v>
      </c>
      <c r="E22" s="1">
        <v>1461.3999999999999</v>
      </c>
      <c r="F22" s="1">
        <v>323.29999999999995</v>
      </c>
      <c r="G22" s="1">
        <v>329</v>
      </c>
      <c r="H22" s="1">
        <v>325</v>
      </c>
      <c r="I22" s="1">
        <v>216.3</v>
      </c>
      <c r="J22" s="1">
        <v>209.8</v>
      </c>
    </row>
    <row r="23" spans="1:10" hidden="1">
      <c r="A23" t="s">
        <v>30</v>
      </c>
      <c r="B23">
        <v>2013</v>
      </c>
      <c r="C23" t="s">
        <v>40</v>
      </c>
      <c r="D23" s="31" t="str">
        <f t="shared" si="0"/>
        <v>2013-August</v>
      </c>
      <c r="E23" s="1">
        <v>1462.5</v>
      </c>
      <c r="F23" s="1">
        <v>325</v>
      </c>
      <c r="G23" s="1">
        <v>332.6</v>
      </c>
      <c r="H23" s="1">
        <v>326.3</v>
      </c>
      <c r="I23" s="1">
        <v>217.7</v>
      </c>
      <c r="J23" s="1">
        <v>212.5</v>
      </c>
    </row>
    <row r="24" spans="1:10" hidden="1">
      <c r="A24" t="s">
        <v>32</v>
      </c>
      <c r="B24">
        <v>2013</v>
      </c>
      <c r="C24" t="s">
        <v>40</v>
      </c>
      <c r="D24" s="31" t="str">
        <f t="shared" si="0"/>
        <v>2013-August</v>
      </c>
      <c r="E24" s="1">
        <v>1506.1000000000001</v>
      </c>
      <c r="F24" s="1">
        <v>327.2</v>
      </c>
      <c r="G24" s="1">
        <v>329.09999999999997</v>
      </c>
      <c r="H24" s="1">
        <v>328.40000000000003</v>
      </c>
      <c r="I24" s="1">
        <v>217.39999999999998</v>
      </c>
      <c r="J24" s="1">
        <v>213.6</v>
      </c>
    </row>
    <row r="25" spans="1:10">
      <c r="A25" t="s">
        <v>33</v>
      </c>
      <c r="B25">
        <v>2013</v>
      </c>
      <c r="C25" t="s">
        <v>40</v>
      </c>
      <c r="D25" s="31" t="str">
        <f t="shared" si="0"/>
        <v>2013-August</v>
      </c>
      <c r="E25" s="1">
        <v>1477.4</v>
      </c>
      <c r="F25" s="1">
        <v>325.70000000000005</v>
      </c>
      <c r="G25" s="1">
        <v>331.1</v>
      </c>
      <c r="H25" s="1">
        <v>327.5</v>
      </c>
      <c r="I25" s="1">
        <v>217.7</v>
      </c>
      <c r="J25" s="1">
        <v>212.9</v>
      </c>
    </row>
    <row r="26" spans="1:10" hidden="1">
      <c r="A26" t="s">
        <v>30</v>
      </c>
      <c r="B26">
        <v>2013</v>
      </c>
      <c r="C26" t="s">
        <v>41</v>
      </c>
      <c r="D26" s="31" t="str">
        <f t="shared" si="0"/>
        <v>2013-September</v>
      </c>
      <c r="E26" s="1">
        <v>1488.5000000000002</v>
      </c>
      <c r="F26" s="1">
        <v>328.1</v>
      </c>
      <c r="G26" s="1">
        <v>336.6</v>
      </c>
      <c r="H26" s="1">
        <v>329.1</v>
      </c>
      <c r="I26" s="1">
        <v>220.39999999999998</v>
      </c>
      <c r="J26" s="1">
        <v>215</v>
      </c>
    </row>
    <row r="27" spans="1:10" hidden="1">
      <c r="A27" t="s">
        <v>32</v>
      </c>
      <c r="B27">
        <v>2013</v>
      </c>
      <c r="C27" t="s">
        <v>41</v>
      </c>
      <c r="D27" s="31" t="str">
        <f t="shared" si="0"/>
        <v>2013-September</v>
      </c>
      <c r="E27" s="1">
        <v>1500.4</v>
      </c>
      <c r="F27" s="1">
        <v>329.70000000000005</v>
      </c>
      <c r="G27" s="1">
        <v>331.5</v>
      </c>
      <c r="H27" s="1">
        <v>330.5</v>
      </c>
      <c r="I27" s="1">
        <v>219.9</v>
      </c>
      <c r="J27" s="1">
        <v>214.8</v>
      </c>
    </row>
    <row r="28" spans="1:10">
      <c r="A28" t="s">
        <v>33</v>
      </c>
      <c r="B28">
        <v>2013</v>
      </c>
      <c r="C28" t="s">
        <v>41</v>
      </c>
      <c r="D28" s="31" t="str">
        <f t="shared" si="0"/>
        <v>2013-September</v>
      </c>
      <c r="E28" s="1">
        <v>1491.6999999999998</v>
      </c>
      <c r="F28" s="1">
        <v>328.5</v>
      </c>
      <c r="G28" s="1">
        <v>334.5</v>
      </c>
      <c r="H28" s="1">
        <v>329.9</v>
      </c>
      <c r="I28" s="1">
        <v>220.4</v>
      </c>
      <c r="J28" s="1">
        <v>214.89999999999998</v>
      </c>
    </row>
    <row r="29" spans="1:10" hidden="1">
      <c r="A29" t="s">
        <v>30</v>
      </c>
      <c r="B29">
        <v>2013</v>
      </c>
      <c r="C29" t="s">
        <v>42</v>
      </c>
      <c r="D29" s="31" t="str">
        <f t="shared" si="0"/>
        <v>2013-October</v>
      </c>
      <c r="E29" s="1">
        <v>1508</v>
      </c>
      <c r="F29" s="1">
        <v>329.6</v>
      </c>
      <c r="G29" s="1">
        <v>339.29999999999995</v>
      </c>
      <c r="H29" s="1">
        <v>331.1</v>
      </c>
      <c r="I29" s="1">
        <v>220.89999999999998</v>
      </c>
      <c r="J29" s="1">
        <v>216.4</v>
      </c>
    </row>
    <row r="30" spans="1:10" hidden="1">
      <c r="A30" t="s">
        <v>32</v>
      </c>
      <c r="B30">
        <v>2013</v>
      </c>
      <c r="C30" t="s">
        <v>42</v>
      </c>
      <c r="D30" s="31" t="str">
        <f t="shared" si="0"/>
        <v>2013-October</v>
      </c>
      <c r="E30" s="1">
        <v>1517.1999999999998</v>
      </c>
      <c r="F30" s="1">
        <v>330.9</v>
      </c>
      <c r="G30" s="1">
        <v>334.2</v>
      </c>
      <c r="H30" s="1">
        <v>332</v>
      </c>
      <c r="I30" s="1">
        <v>219.4</v>
      </c>
      <c r="J30" s="1">
        <v>215.5</v>
      </c>
    </row>
    <row r="31" spans="1:10">
      <c r="A31" t="s">
        <v>33</v>
      </c>
      <c r="B31">
        <v>2013</v>
      </c>
      <c r="C31" t="s">
        <v>42</v>
      </c>
      <c r="D31" s="31" t="str">
        <f t="shared" si="0"/>
        <v>2013-October</v>
      </c>
      <c r="E31" s="1">
        <v>1510.2000000000003</v>
      </c>
      <c r="F31" s="1">
        <v>329.8</v>
      </c>
      <c r="G31" s="1">
        <v>337.2</v>
      </c>
      <c r="H31" s="1">
        <v>331.6</v>
      </c>
      <c r="I31" s="1">
        <v>220.4</v>
      </c>
      <c r="J31" s="1">
        <v>216</v>
      </c>
    </row>
    <row r="32" spans="1:10" hidden="1">
      <c r="A32" t="s">
        <v>30</v>
      </c>
      <c r="B32">
        <v>2013</v>
      </c>
      <c r="C32" t="s">
        <v>43</v>
      </c>
      <c r="D32" s="31" t="str">
        <f t="shared" si="0"/>
        <v xml:space="preserve">2013-November </v>
      </c>
      <c r="E32" s="1">
        <v>1536.8</v>
      </c>
      <c r="F32" s="1">
        <v>331.3</v>
      </c>
      <c r="G32" s="1">
        <v>342.1</v>
      </c>
      <c r="H32" s="1">
        <v>333.4</v>
      </c>
      <c r="I32" s="1">
        <v>222.2</v>
      </c>
      <c r="J32" s="1">
        <v>217.9</v>
      </c>
    </row>
    <row r="33" spans="1:10" hidden="1">
      <c r="A33" t="s">
        <v>32</v>
      </c>
      <c r="B33">
        <v>2013</v>
      </c>
      <c r="C33" t="s">
        <v>44</v>
      </c>
      <c r="D33" s="31" t="str">
        <f t="shared" si="0"/>
        <v>2013-November</v>
      </c>
      <c r="E33" s="1">
        <v>1544.6</v>
      </c>
      <c r="F33" s="1">
        <v>332.2</v>
      </c>
      <c r="G33" s="1">
        <v>336.8</v>
      </c>
      <c r="H33" s="1">
        <v>333.3</v>
      </c>
      <c r="I33" s="1">
        <v>219.5</v>
      </c>
      <c r="J33" s="1">
        <v>216.5</v>
      </c>
    </row>
    <row r="34" spans="1:10">
      <c r="A34" t="s">
        <v>33</v>
      </c>
      <c r="B34">
        <v>2013</v>
      </c>
      <c r="C34" t="s">
        <v>44</v>
      </c>
      <c r="D34" s="31" t="str">
        <f t="shared" si="0"/>
        <v>2013-November</v>
      </c>
      <c r="E34" s="1">
        <v>1538.8</v>
      </c>
      <c r="F34" s="1">
        <v>331.4</v>
      </c>
      <c r="G34" s="1">
        <v>339.90000000000003</v>
      </c>
      <c r="H34" s="1">
        <v>333.4</v>
      </c>
      <c r="I34" s="1">
        <v>221.1</v>
      </c>
      <c r="J34" s="1">
        <v>217.39999999999998</v>
      </c>
    </row>
    <row r="35" spans="1:10" hidden="1">
      <c r="A35" t="s">
        <v>30</v>
      </c>
      <c r="B35">
        <v>2013</v>
      </c>
      <c r="C35" t="s">
        <v>45</v>
      </c>
      <c r="D35" s="31" t="str">
        <f t="shared" si="0"/>
        <v>2013-December</v>
      </c>
      <c r="E35" s="1">
        <v>1509</v>
      </c>
      <c r="F35" s="1">
        <v>332.9</v>
      </c>
      <c r="G35" s="1">
        <v>345.3</v>
      </c>
      <c r="H35" s="1">
        <v>334.4</v>
      </c>
      <c r="I35" s="1">
        <v>222.7</v>
      </c>
      <c r="J35" s="1">
        <v>218.2</v>
      </c>
    </row>
    <row r="36" spans="1:10" hidden="1">
      <c r="A36" t="s">
        <v>32</v>
      </c>
      <c r="B36">
        <v>2013</v>
      </c>
      <c r="C36" t="s">
        <v>45</v>
      </c>
      <c r="D36" s="31" t="str">
        <f t="shared" si="0"/>
        <v>2013-December</v>
      </c>
      <c r="E36" s="1">
        <v>1504.4</v>
      </c>
      <c r="F36" s="1">
        <v>333.7</v>
      </c>
      <c r="G36" s="1">
        <v>338.8</v>
      </c>
      <c r="H36" s="1">
        <v>333.4</v>
      </c>
      <c r="I36" s="1">
        <v>220.10000000000002</v>
      </c>
      <c r="J36" s="1">
        <v>216.7</v>
      </c>
    </row>
    <row r="37" spans="1:10">
      <c r="A37" t="s">
        <v>33</v>
      </c>
      <c r="B37">
        <v>2013</v>
      </c>
      <c r="C37" t="s">
        <v>45</v>
      </c>
      <c r="D37" s="31" t="str">
        <f t="shared" si="0"/>
        <v>2013-December</v>
      </c>
      <c r="E37" s="1">
        <v>1507.3000000000002</v>
      </c>
      <c r="F37" s="1">
        <v>333</v>
      </c>
      <c r="G37" s="1">
        <v>342.7</v>
      </c>
      <c r="H37" s="1">
        <v>333.9</v>
      </c>
      <c r="I37" s="1">
        <v>221.7</v>
      </c>
      <c r="J37" s="1">
        <v>217.60000000000002</v>
      </c>
    </row>
    <row r="38" spans="1:10" hidden="1">
      <c r="A38" t="s">
        <v>30</v>
      </c>
      <c r="B38">
        <v>2014</v>
      </c>
      <c r="C38" t="s">
        <v>31</v>
      </c>
      <c r="D38" s="31" t="str">
        <f t="shared" si="0"/>
        <v>2014-January</v>
      </c>
      <c r="E38" s="1">
        <v>1486.6000000000001</v>
      </c>
      <c r="F38" s="1">
        <v>334.2</v>
      </c>
      <c r="G38" s="1">
        <v>347.2</v>
      </c>
      <c r="H38" s="1">
        <v>336</v>
      </c>
      <c r="I38" s="1">
        <v>223.5</v>
      </c>
      <c r="J38" s="1">
        <v>218.89999999999998</v>
      </c>
    </row>
    <row r="39" spans="1:10" hidden="1">
      <c r="A39" t="s">
        <v>32</v>
      </c>
      <c r="B39">
        <v>2014</v>
      </c>
      <c r="C39" t="s">
        <v>31</v>
      </c>
      <c r="D39" s="31" t="str">
        <f t="shared" si="0"/>
        <v>2014-January</v>
      </c>
      <c r="E39" s="1">
        <v>1484.3</v>
      </c>
      <c r="F39" s="1">
        <v>336</v>
      </c>
      <c r="G39" s="1">
        <v>340.4</v>
      </c>
      <c r="H39" s="1">
        <v>335</v>
      </c>
      <c r="I39" s="1">
        <v>221.8</v>
      </c>
      <c r="J39" s="1">
        <v>217.7</v>
      </c>
    </row>
    <row r="40" spans="1:10">
      <c r="A40" t="s">
        <v>33</v>
      </c>
      <c r="B40">
        <v>2014</v>
      </c>
      <c r="C40" t="s">
        <v>31</v>
      </c>
      <c r="D40" s="31" t="str">
        <f t="shared" si="0"/>
        <v>2014-January</v>
      </c>
      <c r="E40" s="1">
        <v>1485.7999999999997</v>
      </c>
      <c r="F40" s="1">
        <v>334.79999999999995</v>
      </c>
      <c r="G40" s="1">
        <v>344.4</v>
      </c>
      <c r="H40" s="1">
        <v>335.5</v>
      </c>
      <c r="I40" s="1">
        <v>222.9</v>
      </c>
      <c r="J40" s="1">
        <v>218.5</v>
      </c>
    </row>
    <row r="41" spans="1:10" hidden="1">
      <c r="A41" t="s">
        <v>30</v>
      </c>
      <c r="B41">
        <v>2014</v>
      </c>
      <c r="C41" t="s">
        <v>34</v>
      </c>
      <c r="D41" s="31" t="str">
        <f t="shared" si="0"/>
        <v>2014-February</v>
      </c>
      <c r="E41" s="1">
        <v>1482.2</v>
      </c>
      <c r="F41" s="1">
        <v>335</v>
      </c>
      <c r="G41" s="1">
        <v>348.3</v>
      </c>
      <c r="H41" s="1">
        <v>337.4</v>
      </c>
      <c r="I41" s="1">
        <v>224</v>
      </c>
      <c r="J41" s="1">
        <v>219.60000000000002</v>
      </c>
    </row>
    <row r="42" spans="1:10" hidden="1">
      <c r="A42" t="s">
        <v>32</v>
      </c>
      <c r="B42">
        <v>2014</v>
      </c>
      <c r="C42" t="s">
        <v>34</v>
      </c>
      <c r="D42" s="31" t="str">
        <f t="shared" si="0"/>
        <v>2014-February</v>
      </c>
      <c r="E42" s="1">
        <v>1476</v>
      </c>
      <c r="F42" s="1">
        <v>337.5</v>
      </c>
      <c r="G42" s="1">
        <v>341.7</v>
      </c>
      <c r="H42" s="1">
        <v>336.7</v>
      </c>
      <c r="I42" s="1">
        <v>222.39999999999998</v>
      </c>
      <c r="J42" s="1">
        <v>219.10000000000002</v>
      </c>
    </row>
    <row r="43" spans="1:10">
      <c r="A43" t="s">
        <v>33</v>
      </c>
      <c r="B43">
        <v>2014</v>
      </c>
      <c r="C43" t="s">
        <v>34</v>
      </c>
      <c r="D43" s="31" t="str">
        <f t="shared" si="0"/>
        <v>2014-February</v>
      </c>
      <c r="E43" s="1">
        <v>1480.1</v>
      </c>
      <c r="F43" s="1">
        <v>335.70000000000005</v>
      </c>
      <c r="G43" s="1">
        <v>345.6</v>
      </c>
      <c r="H43" s="1">
        <v>337.1</v>
      </c>
      <c r="I43" s="1">
        <v>223.5</v>
      </c>
      <c r="J43" s="1">
        <v>219.4</v>
      </c>
    </row>
    <row r="44" spans="1:10" hidden="1">
      <c r="A44" t="s">
        <v>30</v>
      </c>
      <c r="B44">
        <v>2014</v>
      </c>
      <c r="C44" t="s">
        <v>35</v>
      </c>
      <c r="D44" s="31" t="str">
        <f t="shared" si="0"/>
        <v>2014-March</v>
      </c>
      <c r="E44" s="1">
        <v>1491.4</v>
      </c>
      <c r="F44" s="1">
        <v>336.1</v>
      </c>
      <c r="G44" s="1">
        <v>349.6</v>
      </c>
      <c r="H44" s="1">
        <v>339</v>
      </c>
      <c r="I44" s="1">
        <v>224.60000000000002</v>
      </c>
      <c r="J44" s="1">
        <v>220.3</v>
      </c>
    </row>
    <row r="45" spans="1:10" hidden="1">
      <c r="A45" t="s">
        <v>32</v>
      </c>
      <c r="B45">
        <v>2014</v>
      </c>
      <c r="C45" t="s">
        <v>35</v>
      </c>
      <c r="D45" s="31" t="str">
        <f t="shared" si="0"/>
        <v>2014-March</v>
      </c>
      <c r="E45" s="1">
        <v>1483</v>
      </c>
      <c r="F45" s="1">
        <v>339</v>
      </c>
      <c r="G45" s="1">
        <v>343.09999999999997</v>
      </c>
      <c r="H45" s="1">
        <v>338</v>
      </c>
      <c r="I45" s="1">
        <v>222.5</v>
      </c>
      <c r="J45" s="1">
        <v>220</v>
      </c>
    </row>
    <row r="46" spans="1:10">
      <c r="A46" t="s">
        <v>33</v>
      </c>
      <c r="B46">
        <v>2014</v>
      </c>
      <c r="C46" t="s">
        <v>35</v>
      </c>
      <c r="D46" s="31" t="str">
        <f t="shared" si="0"/>
        <v>2014-March</v>
      </c>
      <c r="E46" s="1">
        <v>1488.2999999999997</v>
      </c>
      <c r="F46" s="1">
        <v>337.1</v>
      </c>
      <c r="G46" s="1">
        <v>346.9</v>
      </c>
      <c r="H46" s="1">
        <v>338.4</v>
      </c>
      <c r="I46" s="1">
        <v>223.9</v>
      </c>
      <c r="J46" s="1">
        <v>220.2</v>
      </c>
    </row>
    <row r="47" spans="1:10" hidden="1">
      <c r="A47" t="s">
        <v>30</v>
      </c>
      <c r="B47">
        <v>2014</v>
      </c>
      <c r="C47" t="s">
        <v>36</v>
      </c>
      <c r="D47" s="31" t="str">
        <f t="shared" si="0"/>
        <v>2014-April</v>
      </c>
      <c r="E47" s="1">
        <v>1504.1000000000001</v>
      </c>
      <c r="F47" s="1">
        <v>337.4</v>
      </c>
      <c r="G47" s="1">
        <v>352</v>
      </c>
      <c r="H47" s="1">
        <v>340.6</v>
      </c>
      <c r="I47" s="1">
        <v>224.60000000000002</v>
      </c>
      <c r="J47" s="1">
        <v>220.7</v>
      </c>
    </row>
    <row r="48" spans="1:10" hidden="1">
      <c r="A48" t="s">
        <v>32</v>
      </c>
      <c r="B48">
        <v>2014</v>
      </c>
      <c r="C48" t="s">
        <v>36</v>
      </c>
      <c r="D48" s="31" t="str">
        <f t="shared" si="0"/>
        <v>2014-April</v>
      </c>
      <c r="E48" s="1">
        <v>1504.0000000000002</v>
      </c>
      <c r="F48" s="1">
        <v>340.20000000000005</v>
      </c>
      <c r="G48" s="1">
        <v>344.5</v>
      </c>
      <c r="H48" s="1">
        <v>339.8</v>
      </c>
      <c r="I48" s="1">
        <v>222.10000000000002</v>
      </c>
      <c r="J48" s="1">
        <v>220.1</v>
      </c>
    </row>
    <row r="49" spans="1:10">
      <c r="A49" t="s">
        <v>33</v>
      </c>
      <c r="B49">
        <v>2014</v>
      </c>
      <c r="C49" t="s">
        <v>36</v>
      </c>
      <c r="D49" s="31" t="str">
        <f t="shared" si="0"/>
        <v>2014-April</v>
      </c>
      <c r="E49" s="1">
        <v>1504.1</v>
      </c>
      <c r="F49" s="1">
        <v>338.4</v>
      </c>
      <c r="G49" s="1">
        <v>349</v>
      </c>
      <c r="H49" s="1">
        <v>340.2</v>
      </c>
      <c r="I49" s="1">
        <v>223.7</v>
      </c>
      <c r="J49" s="1">
        <v>220.5</v>
      </c>
    </row>
    <row r="50" spans="1:10" hidden="1">
      <c r="A50" t="s">
        <v>30</v>
      </c>
      <c r="B50">
        <v>2014</v>
      </c>
      <c r="C50" t="s">
        <v>37</v>
      </c>
      <c r="D50" s="31" t="str">
        <f t="shared" si="0"/>
        <v>2014-May</v>
      </c>
      <c r="E50" s="1">
        <v>1513.8999999999999</v>
      </c>
      <c r="F50" s="1">
        <v>339</v>
      </c>
      <c r="G50" s="1">
        <v>354</v>
      </c>
      <c r="H50" s="1">
        <v>341.5</v>
      </c>
      <c r="I50" s="1">
        <v>224.8</v>
      </c>
      <c r="J50" s="1">
        <v>221</v>
      </c>
    </row>
    <row r="51" spans="1:10" hidden="1">
      <c r="A51" t="s">
        <v>32</v>
      </c>
      <c r="B51">
        <v>2014</v>
      </c>
      <c r="C51" t="s">
        <v>37</v>
      </c>
      <c r="D51" s="31" t="str">
        <f t="shared" si="0"/>
        <v>2014-May</v>
      </c>
      <c r="E51" s="1">
        <v>1525.3000000000002</v>
      </c>
      <c r="F51" s="1">
        <v>341.5</v>
      </c>
      <c r="G51" s="1">
        <v>345.9</v>
      </c>
      <c r="H51" s="1">
        <v>341.29999999999995</v>
      </c>
      <c r="I51" s="1">
        <v>222.39999999999998</v>
      </c>
      <c r="J51" s="1">
        <v>220.5</v>
      </c>
    </row>
    <row r="52" spans="1:10">
      <c r="A52" t="s">
        <v>33</v>
      </c>
      <c r="B52">
        <v>2014</v>
      </c>
      <c r="C52" t="s">
        <v>37</v>
      </c>
      <c r="D52" s="31" t="str">
        <f t="shared" si="0"/>
        <v>2014-May</v>
      </c>
      <c r="E52" s="1">
        <v>1518.5000000000005</v>
      </c>
      <c r="F52" s="1">
        <v>339.8</v>
      </c>
      <c r="G52" s="1">
        <v>350.79999999999995</v>
      </c>
      <c r="H52" s="1">
        <v>341.4</v>
      </c>
      <c r="I52" s="1">
        <v>223.8</v>
      </c>
      <c r="J52" s="1">
        <v>220.89999999999998</v>
      </c>
    </row>
    <row r="53" spans="1:10" hidden="1">
      <c r="A53" t="s">
        <v>30</v>
      </c>
      <c r="B53">
        <v>2014</v>
      </c>
      <c r="C53" t="s">
        <v>38</v>
      </c>
      <c r="D53" s="31" t="str">
        <f t="shared" si="0"/>
        <v>2014-June</v>
      </c>
      <c r="E53" s="1">
        <v>1525.6999999999998</v>
      </c>
      <c r="F53" s="1">
        <v>341</v>
      </c>
      <c r="G53" s="1">
        <v>356.3</v>
      </c>
      <c r="H53" s="1">
        <v>343.1</v>
      </c>
      <c r="I53" s="1">
        <v>226.60000000000002</v>
      </c>
      <c r="J53" s="1">
        <v>220.8</v>
      </c>
    </row>
    <row r="54" spans="1:10" hidden="1">
      <c r="A54" t="s">
        <v>32</v>
      </c>
      <c r="B54">
        <v>2014</v>
      </c>
      <c r="C54" t="s">
        <v>38</v>
      </c>
      <c r="D54" s="31" t="str">
        <f t="shared" si="0"/>
        <v>2014-June</v>
      </c>
      <c r="E54" s="1">
        <v>1547</v>
      </c>
      <c r="F54" s="1">
        <v>343</v>
      </c>
      <c r="G54" s="1">
        <v>347.3</v>
      </c>
      <c r="H54" s="1">
        <v>343.29999999999995</v>
      </c>
      <c r="I54" s="1">
        <v>222.7</v>
      </c>
      <c r="J54" s="1">
        <v>220.10000000000002</v>
      </c>
    </row>
    <row r="55" spans="1:10">
      <c r="A55" t="s">
        <v>33</v>
      </c>
      <c r="B55">
        <v>2014</v>
      </c>
      <c r="C55" t="s">
        <v>38</v>
      </c>
      <c r="D55" s="31" t="str">
        <f t="shared" si="0"/>
        <v>2014-June</v>
      </c>
      <c r="E55" s="1">
        <v>1533.7000000000003</v>
      </c>
      <c r="F55" s="1">
        <v>341.7</v>
      </c>
      <c r="G55" s="1">
        <v>352.7</v>
      </c>
      <c r="H55" s="1">
        <v>343.3</v>
      </c>
      <c r="I55" s="1">
        <v>225</v>
      </c>
      <c r="J55" s="1">
        <v>220.6</v>
      </c>
    </row>
    <row r="56" spans="1:10" hidden="1">
      <c r="A56" t="s">
        <v>30</v>
      </c>
      <c r="B56">
        <v>2014</v>
      </c>
      <c r="C56" t="s">
        <v>39</v>
      </c>
      <c r="D56" s="31" t="str">
        <f t="shared" si="0"/>
        <v>2014-July</v>
      </c>
      <c r="E56" s="1">
        <v>1563.2</v>
      </c>
      <c r="F56" s="1">
        <v>342.9</v>
      </c>
      <c r="G56" s="1">
        <v>359.3</v>
      </c>
      <c r="H56" s="1">
        <v>345.7</v>
      </c>
      <c r="I56" s="1">
        <v>228.5</v>
      </c>
      <c r="J56" s="1">
        <v>222.2</v>
      </c>
    </row>
    <row r="57" spans="1:10" hidden="1">
      <c r="A57" t="s">
        <v>32</v>
      </c>
      <c r="B57">
        <v>2014</v>
      </c>
      <c r="C57" t="s">
        <v>39</v>
      </c>
      <c r="D57" s="31" t="str">
        <f t="shared" si="0"/>
        <v>2014-July</v>
      </c>
      <c r="E57" s="1">
        <v>1599.5</v>
      </c>
      <c r="F57" s="1">
        <v>346.9</v>
      </c>
      <c r="G57" s="1">
        <v>349</v>
      </c>
      <c r="H57" s="1">
        <v>347.5</v>
      </c>
      <c r="I57" s="1">
        <v>224.6</v>
      </c>
      <c r="J57" s="1">
        <v>221.2</v>
      </c>
    </row>
    <row r="58" spans="1:10">
      <c r="A58" t="s">
        <v>33</v>
      </c>
      <c r="B58">
        <v>2014</v>
      </c>
      <c r="C58" t="s">
        <v>39</v>
      </c>
      <c r="D58" s="31" t="str">
        <f t="shared" si="0"/>
        <v>2014-July</v>
      </c>
      <c r="E58" s="1">
        <v>1576.3</v>
      </c>
      <c r="F58" s="1">
        <v>344.2</v>
      </c>
      <c r="G58" s="1">
        <v>355</v>
      </c>
      <c r="H58" s="1">
        <v>346.8</v>
      </c>
      <c r="I58" s="1">
        <v>227</v>
      </c>
      <c r="J58" s="1">
        <v>221.9</v>
      </c>
    </row>
    <row r="59" spans="1:10" hidden="1">
      <c r="A59" t="s">
        <v>30</v>
      </c>
      <c r="B59">
        <v>2014</v>
      </c>
      <c r="C59" t="s">
        <v>40</v>
      </c>
      <c r="D59" s="31" t="str">
        <f t="shared" si="0"/>
        <v>2014-August</v>
      </c>
      <c r="E59" s="1">
        <v>1582.2999999999997</v>
      </c>
      <c r="F59" s="1">
        <v>344.5</v>
      </c>
      <c r="G59" s="1">
        <v>360.4</v>
      </c>
      <c r="H59" s="1">
        <v>347.6</v>
      </c>
      <c r="I59" s="1">
        <v>228.60000000000002</v>
      </c>
      <c r="J59" s="1">
        <v>223.4</v>
      </c>
    </row>
    <row r="60" spans="1:10" hidden="1">
      <c r="A60" t="s">
        <v>32</v>
      </c>
      <c r="B60">
        <v>2014</v>
      </c>
      <c r="C60" t="s">
        <v>40</v>
      </c>
      <c r="D60" s="31" t="str">
        <f t="shared" si="0"/>
        <v>2014-August</v>
      </c>
      <c r="E60" s="1">
        <v>1617</v>
      </c>
      <c r="F60" s="1">
        <v>349.8</v>
      </c>
      <c r="G60" s="1">
        <v>350.6</v>
      </c>
      <c r="H60" s="1">
        <v>350</v>
      </c>
      <c r="I60" s="1">
        <v>224.3</v>
      </c>
      <c r="J60" s="1">
        <v>222.7</v>
      </c>
    </row>
    <row r="61" spans="1:10">
      <c r="A61" t="s">
        <v>33</v>
      </c>
      <c r="B61">
        <v>2014</v>
      </c>
      <c r="C61" t="s">
        <v>40</v>
      </c>
      <c r="D61" s="31" t="str">
        <f t="shared" si="0"/>
        <v>2014-August</v>
      </c>
      <c r="E61" s="1">
        <v>1594.4999999999998</v>
      </c>
      <c r="F61" s="1">
        <v>346.2</v>
      </c>
      <c r="G61" s="1">
        <v>356.4</v>
      </c>
      <c r="H61" s="1">
        <v>349.1</v>
      </c>
      <c r="I61" s="1">
        <v>226.8</v>
      </c>
      <c r="J61" s="1">
        <v>223.2</v>
      </c>
    </row>
    <row r="62" spans="1:10" hidden="1">
      <c r="A62" t="s">
        <v>30</v>
      </c>
      <c r="B62">
        <v>2014</v>
      </c>
      <c r="C62" t="s">
        <v>41</v>
      </c>
      <c r="D62" s="31" t="str">
        <f t="shared" si="0"/>
        <v>2014-September</v>
      </c>
      <c r="E62" s="1">
        <v>1583.2</v>
      </c>
      <c r="F62" s="1">
        <v>345.8</v>
      </c>
      <c r="G62" s="1">
        <v>362.2</v>
      </c>
      <c r="H62" s="1">
        <v>349.4</v>
      </c>
      <c r="I62" s="1">
        <v>228.6</v>
      </c>
      <c r="J62" s="1">
        <v>223.6</v>
      </c>
    </row>
    <row r="63" spans="1:10" hidden="1">
      <c r="A63" t="s">
        <v>32</v>
      </c>
      <c r="B63">
        <v>2014</v>
      </c>
      <c r="C63" t="s">
        <v>41</v>
      </c>
      <c r="D63" s="31" t="str">
        <f t="shared" si="0"/>
        <v>2014-September</v>
      </c>
      <c r="E63" s="1">
        <v>1593.7000000000003</v>
      </c>
      <c r="F63" s="1">
        <v>351.29999999999995</v>
      </c>
      <c r="G63" s="1">
        <v>352.1</v>
      </c>
      <c r="H63" s="1">
        <v>351.6</v>
      </c>
      <c r="I63" s="1">
        <v>223</v>
      </c>
      <c r="J63" s="1">
        <v>222.3</v>
      </c>
    </row>
    <row r="64" spans="1:10">
      <c r="A64" t="s">
        <v>33</v>
      </c>
      <c r="B64">
        <v>2014</v>
      </c>
      <c r="C64" t="s">
        <v>41</v>
      </c>
      <c r="D64" s="31" t="str">
        <f t="shared" si="0"/>
        <v>2014-September</v>
      </c>
      <c r="E64" s="1">
        <v>1586.0999999999997</v>
      </c>
      <c r="F64" s="1">
        <v>347.59999999999997</v>
      </c>
      <c r="G64" s="1">
        <v>358</v>
      </c>
      <c r="H64" s="1">
        <v>350.79999999999995</v>
      </c>
      <c r="I64" s="1">
        <v>226.3</v>
      </c>
      <c r="J64" s="1">
        <v>223.2</v>
      </c>
    </row>
    <row r="65" spans="1:10" hidden="1">
      <c r="A65" t="s">
        <v>30</v>
      </c>
      <c r="B65">
        <v>2014</v>
      </c>
      <c r="C65" t="s">
        <v>42</v>
      </c>
      <c r="D65" s="31" t="str">
        <f t="shared" si="0"/>
        <v>2014-October</v>
      </c>
      <c r="E65" s="1">
        <v>1581.1999999999998</v>
      </c>
      <c r="F65" s="1">
        <v>347</v>
      </c>
      <c r="G65" s="1">
        <v>365.3</v>
      </c>
      <c r="H65" s="1">
        <v>351.1</v>
      </c>
      <c r="I65" s="1">
        <v>229</v>
      </c>
      <c r="J65" s="1">
        <v>224.6</v>
      </c>
    </row>
    <row r="66" spans="1:10" hidden="1">
      <c r="A66" t="s">
        <v>32</v>
      </c>
      <c r="B66">
        <v>2014</v>
      </c>
      <c r="C66" t="s">
        <v>42</v>
      </c>
      <c r="D66" s="31" t="str">
        <f t="shared" si="0"/>
        <v>2014-October</v>
      </c>
      <c r="E66" s="1">
        <v>1587.5</v>
      </c>
      <c r="F66" s="1">
        <v>351.59999999999997</v>
      </c>
      <c r="G66" s="1">
        <v>353.4</v>
      </c>
      <c r="H66" s="1">
        <v>352.7</v>
      </c>
      <c r="I66" s="1">
        <v>223</v>
      </c>
      <c r="J66" s="1">
        <v>222.7</v>
      </c>
    </row>
    <row r="67" spans="1:10">
      <c r="A67" t="s">
        <v>33</v>
      </c>
      <c r="B67">
        <v>2014</v>
      </c>
      <c r="C67" t="s">
        <v>42</v>
      </c>
      <c r="D67" s="31" t="str">
        <f t="shared" ref="D67:D130" si="1">CONCATENATE(B67,"-",C67)</f>
        <v>2014-October</v>
      </c>
      <c r="E67" s="1">
        <v>1582.7</v>
      </c>
      <c r="F67" s="1">
        <v>348.29999999999995</v>
      </c>
      <c r="G67" s="1">
        <v>360.6</v>
      </c>
      <c r="H67" s="1">
        <v>352.2</v>
      </c>
      <c r="I67" s="1">
        <v>226.5</v>
      </c>
      <c r="J67" s="1">
        <v>223.89999999999998</v>
      </c>
    </row>
    <row r="68" spans="1:10" hidden="1">
      <c r="A68" t="s">
        <v>30</v>
      </c>
      <c r="B68">
        <v>2014</v>
      </c>
      <c r="C68" t="s">
        <v>44</v>
      </c>
      <c r="D68" s="31" t="str">
        <f t="shared" si="1"/>
        <v>2014-November</v>
      </c>
      <c r="E68" s="1">
        <v>1582</v>
      </c>
      <c r="F68" s="1">
        <v>348.2</v>
      </c>
      <c r="G68" s="1">
        <v>366.70000000000005</v>
      </c>
      <c r="H68" s="1">
        <v>352.4</v>
      </c>
      <c r="I68" s="1">
        <v>229.3</v>
      </c>
      <c r="J68" s="1">
        <v>224.7</v>
      </c>
    </row>
    <row r="69" spans="1:10" hidden="1">
      <c r="A69" t="s">
        <v>32</v>
      </c>
      <c r="B69">
        <v>2014</v>
      </c>
      <c r="C69" t="s">
        <v>44</v>
      </c>
      <c r="D69" s="31" t="str">
        <f t="shared" si="1"/>
        <v>2014-November</v>
      </c>
      <c r="E69" s="1">
        <v>1587.8</v>
      </c>
      <c r="F69" s="1">
        <v>353.20000000000005</v>
      </c>
      <c r="G69" s="1">
        <v>355.2</v>
      </c>
      <c r="H69" s="1">
        <v>353.8</v>
      </c>
      <c r="I69" s="1">
        <v>222.3</v>
      </c>
      <c r="J69" s="1">
        <v>222.6</v>
      </c>
    </row>
    <row r="70" spans="1:10">
      <c r="A70" t="s">
        <v>33</v>
      </c>
      <c r="B70">
        <v>2014</v>
      </c>
      <c r="C70" t="s">
        <v>44</v>
      </c>
      <c r="D70" s="31" t="str">
        <f t="shared" si="1"/>
        <v>2014-November</v>
      </c>
      <c r="E70" s="1">
        <v>1583.2</v>
      </c>
      <c r="F70" s="1">
        <v>349.6</v>
      </c>
      <c r="G70" s="1">
        <v>362.1</v>
      </c>
      <c r="H70" s="1">
        <v>353.4</v>
      </c>
      <c r="I70" s="1">
        <v>226.3</v>
      </c>
      <c r="J70" s="1">
        <v>223.89999999999998</v>
      </c>
    </row>
    <row r="71" spans="1:10" hidden="1">
      <c r="A71" t="s">
        <v>30</v>
      </c>
      <c r="B71">
        <v>2014</v>
      </c>
      <c r="C71" t="s">
        <v>45</v>
      </c>
      <c r="D71" s="31" t="str">
        <f t="shared" si="1"/>
        <v>2014-December</v>
      </c>
      <c r="E71" s="1">
        <v>1569.6</v>
      </c>
      <c r="F71" s="1">
        <v>349.2</v>
      </c>
      <c r="G71" s="1">
        <v>367.7</v>
      </c>
      <c r="H71" s="1">
        <v>352.4</v>
      </c>
      <c r="I71" s="1">
        <v>228.9</v>
      </c>
      <c r="J71" s="1">
        <v>225.60000000000002</v>
      </c>
    </row>
    <row r="72" spans="1:10" hidden="1">
      <c r="A72" t="s">
        <v>32</v>
      </c>
      <c r="B72">
        <v>2014</v>
      </c>
      <c r="C72" t="s">
        <v>45</v>
      </c>
      <c r="D72" s="31" t="str">
        <f t="shared" si="1"/>
        <v>2014-December</v>
      </c>
      <c r="E72" s="1">
        <v>1577.1999999999998</v>
      </c>
      <c r="F72" s="1">
        <v>354.1</v>
      </c>
      <c r="G72" s="1">
        <v>356.5</v>
      </c>
      <c r="H72" s="1">
        <v>354</v>
      </c>
      <c r="I72" s="1">
        <v>221.8</v>
      </c>
      <c r="J72" s="1">
        <v>223.60000000000002</v>
      </c>
    </row>
    <row r="73" spans="1:10">
      <c r="A73" t="s">
        <v>33</v>
      </c>
      <c r="B73">
        <v>2014</v>
      </c>
      <c r="C73" t="s">
        <v>45</v>
      </c>
      <c r="D73" s="31" t="str">
        <f t="shared" si="1"/>
        <v>2014-December</v>
      </c>
      <c r="E73" s="1">
        <v>1571.6999999999998</v>
      </c>
      <c r="F73" s="1">
        <v>350.7</v>
      </c>
      <c r="G73" s="1">
        <v>363.2</v>
      </c>
      <c r="H73" s="1">
        <v>353.5</v>
      </c>
      <c r="I73" s="1">
        <v>225.8</v>
      </c>
      <c r="J73" s="1">
        <v>224.89999999999998</v>
      </c>
    </row>
    <row r="74" spans="1:10" hidden="1">
      <c r="A74" t="s">
        <v>30</v>
      </c>
      <c r="B74">
        <v>2015</v>
      </c>
      <c r="C74" t="s">
        <v>31</v>
      </c>
      <c r="D74" s="31" t="str">
        <f t="shared" si="1"/>
        <v>2015-January</v>
      </c>
      <c r="E74" s="1">
        <v>1568.1</v>
      </c>
      <c r="F74" s="1">
        <v>351.2</v>
      </c>
      <c r="G74" s="1">
        <v>370</v>
      </c>
      <c r="H74" s="1">
        <v>354.4</v>
      </c>
      <c r="I74" s="1">
        <v>229.4</v>
      </c>
      <c r="J74" s="1">
        <v>226.8</v>
      </c>
    </row>
    <row r="75" spans="1:10" hidden="1">
      <c r="A75" t="s">
        <v>32</v>
      </c>
      <c r="B75">
        <v>2015</v>
      </c>
      <c r="C75" t="s">
        <v>31</v>
      </c>
      <c r="D75" s="31" t="str">
        <f t="shared" si="1"/>
        <v>2015-January</v>
      </c>
      <c r="E75" s="1">
        <v>1574.8999999999999</v>
      </c>
      <c r="F75" s="1">
        <v>355.4</v>
      </c>
      <c r="G75" s="1">
        <v>357.3</v>
      </c>
      <c r="H75" s="1">
        <v>355.3</v>
      </c>
      <c r="I75" s="1">
        <v>221.3</v>
      </c>
      <c r="J75" s="1">
        <v>225.10000000000002</v>
      </c>
    </row>
    <row r="76" spans="1:10">
      <c r="A76" t="s">
        <v>33</v>
      </c>
      <c r="B76">
        <v>2015</v>
      </c>
      <c r="C76" t="s">
        <v>31</v>
      </c>
      <c r="D76" s="31" t="str">
        <f t="shared" si="1"/>
        <v>2015-January</v>
      </c>
      <c r="E76" s="1">
        <v>1569.3</v>
      </c>
      <c r="F76" s="1">
        <v>352.3</v>
      </c>
      <c r="G76" s="1">
        <v>364.9</v>
      </c>
      <c r="H76" s="1">
        <v>355.09999999999997</v>
      </c>
      <c r="I76" s="1">
        <v>225.9</v>
      </c>
      <c r="J76" s="1">
        <v>226.2</v>
      </c>
    </row>
    <row r="77" spans="1:10" hidden="1">
      <c r="A77" t="s">
        <v>30</v>
      </c>
      <c r="B77">
        <v>2015</v>
      </c>
      <c r="C77" t="s">
        <v>34</v>
      </c>
      <c r="D77" s="31" t="str">
        <f t="shared" si="1"/>
        <v>2015-February</v>
      </c>
      <c r="E77" s="1">
        <v>1570.5999999999997</v>
      </c>
      <c r="F77" s="1">
        <v>354</v>
      </c>
      <c r="G77" s="1">
        <v>373.1</v>
      </c>
      <c r="H77" s="1">
        <v>356.4</v>
      </c>
      <c r="I77" s="1">
        <v>230.9</v>
      </c>
      <c r="J77" s="1">
        <v>228.5</v>
      </c>
    </row>
    <row r="78" spans="1:10" hidden="1">
      <c r="A78" t="s">
        <v>32</v>
      </c>
      <c r="B78">
        <v>2015</v>
      </c>
      <c r="C78" t="s">
        <v>34</v>
      </c>
      <c r="D78" s="31" t="str">
        <f t="shared" si="1"/>
        <v>2015-February</v>
      </c>
      <c r="E78" s="1">
        <v>1571.1000000000001</v>
      </c>
      <c r="F78" s="1">
        <v>356.2</v>
      </c>
      <c r="G78" s="1">
        <v>358.4</v>
      </c>
      <c r="H78" s="1">
        <v>356.20000000000005</v>
      </c>
      <c r="I78" s="1">
        <v>220.8</v>
      </c>
      <c r="J78" s="1">
        <v>225.8</v>
      </c>
    </row>
    <row r="79" spans="1:10">
      <c r="A79" t="s">
        <v>33</v>
      </c>
      <c r="B79">
        <v>2015</v>
      </c>
      <c r="C79" t="s">
        <v>34</v>
      </c>
      <c r="D79" s="31" t="str">
        <f t="shared" si="1"/>
        <v>2015-February</v>
      </c>
      <c r="E79" s="1">
        <v>1569.3999999999996</v>
      </c>
      <c r="F79" s="1">
        <v>354.20000000000005</v>
      </c>
      <c r="G79" s="1">
        <v>367.2</v>
      </c>
      <c r="H79" s="1">
        <v>356.5</v>
      </c>
      <c r="I79" s="1">
        <v>226.4</v>
      </c>
      <c r="J79" s="1">
        <v>227.5</v>
      </c>
    </row>
    <row r="80" spans="1:10" hidden="1">
      <c r="A80" t="s">
        <v>30</v>
      </c>
      <c r="B80">
        <v>2015</v>
      </c>
      <c r="C80" t="s">
        <v>35</v>
      </c>
      <c r="D80" s="31" t="str">
        <f t="shared" si="1"/>
        <v>2015-March</v>
      </c>
      <c r="E80" s="1">
        <v>1571.5</v>
      </c>
      <c r="F80" s="1">
        <v>355.7</v>
      </c>
      <c r="G80" s="1">
        <v>374.4</v>
      </c>
      <c r="H80" s="1">
        <v>358.20000000000005</v>
      </c>
      <c r="I80" s="1">
        <v>232.2</v>
      </c>
      <c r="J80" s="1">
        <v>229</v>
      </c>
    </row>
    <row r="81" spans="1:10" hidden="1">
      <c r="A81" t="s">
        <v>32</v>
      </c>
      <c r="B81">
        <v>2015</v>
      </c>
      <c r="C81" t="s">
        <v>35</v>
      </c>
      <c r="D81" s="31" t="str">
        <f t="shared" si="1"/>
        <v>2015-March</v>
      </c>
      <c r="E81" s="1">
        <v>1568.0000000000002</v>
      </c>
      <c r="F81" s="1">
        <v>358</v>
      </c>
      <c r="G81" s="1">
        <v>359.5</v>
      </c>
      <c r="H81" s="1">
        <v>357.2</v>
      </c>
      <c r="I81" s="1">
        <v>222.8</v>
      </c>
      <c r="J81" s="1">
        <v>225.6</v>
      </c>
    </row>
    <row r="82" spans="1:10">
      <c r="A82" t="s">
        <v>33</v>
      </c>
      <c r="B82">
        <v>2015</v>
      </c>
      <c r="C82" t="s">
        <v>35</v>
      </c>
      <c r="D82" s="31" t="str">
        <f t="shared" si="1"/>
        <v>2015-March</v>
      </c>
      <c r="E82" s="1">
        <v>1569.1</v>
      </c>
      <c r="F82" s="1">
        <v>355.9</v>
      </c>
      <c r="G82" s="1">
        <v>368.4</v>
      </c>
      <c r="H82" s="1">
        <v>357.9</v>
      </c>
      <c r="I82" s="1">
        <v>228.2</v>
      </c>
      <c r="J82" s="1">
        <v>227.7</v>
      </c>
    </row>
    <row r="83" spans="1:10" hidden="1">
      <c r="A83" t="s">
        <v>30</v>
      </c>
      <c r="B83">
        <v>2015</v>
      </c>
      <c r="C83" t="s">
        <v>36</v>
      </c>
      <c r="D83" s="31" t="str">
        <f t="shared" si="1"/>
        <v>2015-April</v>
      </c>
      <c r="E83" s="1">
        <v>1577.2</v>
      </c>
      <c r="F83" s="1">
        <v>357.9</v>
      </c>
      <c r="G83" s="1">
        <v>375.7</v>
      </c>
      <c r="H83" s="1">
        <v>360</v>
      </c>
      <c r="I83" s="1">
        <v>233.10000000000002</v>
      </c>
      <c r="J83" s="1">
        <v>230.2</v>
      </c>
    </row>
    <row r="84" spans="1:10" hidden="1">
      <c r="A84" t="s">
        <v>32</v>
      </c>
      <c r="B84">
        <v>2015</v>
      </c>
      <c r="C84" t="s">
        <v>36</v>
      </c>
      <c r="D84" s="31" t="str">
        <f t="shared" si="1"/>
        <v>2015-April</v>
      </c>
      <c r="E84" s="1">
        <v>1576.1</v>
      </c>
      <c r="F84" s="1">
        <v>359.9</v>
      </c>
      <c r="G84" s="1">
        <v>360.6</v>
      </c>
      <c r="H84" s="1">
        <v>359.3</v>
      </c>
      <c r="I84" s="1">
        <v>223.10000000000002</v>
      </c>
      <c r="J84" s="1">
        <v>226.39999999999998</v>
      </c>
    </row>
    <row r="85" spans="1:10">
      <c r="A85" t="s">
        <v>33</v>
      </c>
      <c r="B85">
        <v>2015</v>
      </c>
      <c r="C85" t="s">
        <v>36</v>
      </c>
      <c r="D85" s="31" t="str">
        <f t="shared" si="1"/>
        <v>2015-April</v>
      </c>
      <c r="E85" s="1">
        <v>1575.7</v>
      </c>
      <c r="F85" s="1">
        <v>357.9</v>
      </c>
      <c r="G85" s="1">
        <v>369.6</v>
      </c>
      <c r="H85" s="1">
        <v>359.9</v>
      </c>
      <c r="I85" s="1">
        <v>228.8</v>
      </c>
      <c r="J85" s="1">
        <v>228.8</v>
      </c>
    </row>
    <row r="86" spans="1:10" hidden="1">
      <c r="A86" t="s">
        <v>30</v>
      </c>
      <c r="B86">
        <v>2015</v>
      </c>
      <c r="C86" t="s">
        <v>37</v>
      </c>
      <c r="D86" s="31" t="str">
        <f t="shared" si="1"/>
        <v>2015-May</v>
      </c>
      <c r="E86" s="1">
        <v>1587.7</v>
      </c>
      <c r="F86" s="1">
        <v>360.3</v>
      </c>
      <c r="G86" s="1">
        <v>378.2</v>
      </c>
      <c r="H86" s="1">
        <v>361.6</v>
      </c>
      <c r="I86" s="1">
        <v>235.2</v>
      </c>
      <c r="J86" s="1">
        <v>231.7</v>
      </c>
    </row>
    <row r="87" spans="1:10" hidden="1">
      <c r="A87" t="s">
        <v>32</v>
      </c>
      <c r="B87">
        <v>2015</v>
      </c>
      <c r="C87" t="s">
        <v>37</v>
      </c>
      <c r="D87" s="31" t="str">
        <f t="shared" si="1"/>
        <v>2015-May</v>
      </c>
      <c r="E87" s="1">
        <v>1598.9</v>
      </c>
      <c r="F87" s="1">
        <v>362.5</v>
      </c>
      <c r="G87" s="1">
        <v>361.4</v>
      </c>
      <c r="H87" s="1">
        <v>360.3</v>
      </c>
      <c r="I87" s="1">
        <v>225.7</v>
      </c>
      <c r="J87" s="1">
        <v>227.3</v>
      </c>
    </row>
    <row r="88" spans="1:10">
      <c r="A88" t="s">
        <v>33</v>
      </c>
      <c r="B88">
        <v>2015</v>
      </c>
      <c r="C88" t="s">
        <v>37</v>
      </c>
      <c r="D88" s="31" t="str">
        <f t="shared" si="1"/>
        <v>2015-May</v>
      </c>
      <c r="E88" s="1">
        <v>1590.4</v>
      </c>
      <c r="F88" s="1">
        <v>360.29999999999995</v>
      </c>
      <c r="G88" s="1">
        <v>371.4</v>
      </c>
      <c r="H88" s="1">
        <v>361.20000000000005</v>
      </c>
      <c r="I88" s="1">
        <v>231.2</v>
      </c>
      <c r="J88" s="1">
        <v>230</v>
      </c>
    </row>
    <row r="89" spans="1:10" hidden="1">
      <c r="A89" t="s">
        <v>30</v>
      </c>
      <c r="B89">
        <v>2015</v>
      </c>
      <c r="C89" t="s">
        <v>38</v>
      </c>
      <c r="D89" s="31" t="str">
        <f t="shared" si="1"/>
        <v>2015-June</v>
      </c>
      <c r="E89" s="1">
        <v>1617.8999999999999</v>
      </c>
      <c r="F89" s="1">
        <v>364</v>
      </c>
      <c r="G89" s="1">
        <v>381.5</v>
      </c>
      <c r="H89" s="1">
        <v>363.8</v>
      </c>
      <c r="I89" s="1">
        <v>236.8</v>
      </c>
      <c r="J89" s="1">
        <v>233.4</v>
      </c>
    </row>
    <row r="90" spans="1:10" hidden="1">
      <c r="A90" t="s">
        <v>32</v>
      </c>
      <c r="B90">
        <v>2015</v>
      </c>
      <c r="C90" t="s">
        <v>38</v>
      </c>
      <c r="D90" s="31" t="str">
        <f t="shared" si="1"/>
        <v>2015-June</v>
      </c>
      <c r="E90" s="1">
        <v>1636.6</v>
      </c>
      <c r="F90" s="1">
        <v>364.3</v>
      </c>
      <c r="G90" s="1">
        <v>363.1</v>
      </c>
      <c r="H90" s="1">
        <v>362</v>
      </c>
      <c r="I90" s="1">
        <v>226.8</v>
      </c>
      <c r="J90" s="1">
        <v>227.9</v>
      </c>
    </row>
    <row r="91" spans="1:10">
      <c r="A91" t="s">
        <v>33</v>
      </c>
      <c r="B91">
        <v>2015</v>
      </c>
      <c r="C91" t="s">
        <v>38</v>
      </c>
      <c r="D91" s="31" t="str">
        <f t="shared" si="1"/>
        <v>2015-June</v>
      </c>
      <c r="E91" s="1">
        <v>1623.5</v>
      </c>
      <c r="F91" s="1">
        <v>363.1</v>
      </c>
      <c r="G91" s="1">
        <v>374.1</v>
      </c>
      <c r="H91" s="1">
        <v>363.2</v>
      </c>
      <c r="I91" s="1">
        <v>232.7</v>
      </c>
      <c r="J91" s="1">
        <v>231.3</v>
      </c>
    </row>
    <row r="92" spans="1:10" hidden="1">
      <c r="A92" t="s">
        <v>30</v>
      </c>
      <c r="B92">
        <v>2015</v>
      </c>
      <c r="C92" t="s">
        <v>39</v>
      </c>
      <c r="D92" s="31" t="str">
        <f t="shared" si="1"/>
        <v>2015-July</v>
      </c>
      <c r="E92" s="1">
        <v>1625.3</v>
      </c>
      <c r="F92" s="1">
        <v>365.5</v>
      </c>
      <c r="G92" s="1">
        <v>382.6</v>
      </c>
      <c r="H92" s="1">
        <v>365.8</v>
      </c>
      <c r="I92" s="1">
        <v>237.1</v>
      </c>
      <c r="J92" s="1">
        <v>233.5</v>
      </c>
    </row>
    <row r="93" spans="1:10" hidden="1">
      <c r="A93" t="s">
        <v>32</v>
      </c>
      <c r="B93">
        <v>2015</v>
      </c>
      <c r="C93" t="s">
        <v>39</v>
      </c>
      <c r="D93" s="31" t="str">
        <f t="shared" si="1"/>
        <v>2015-July</v>
      </c>
      <c r="E93" s="1">
        <v>1642.8999999999999</v>
      </c>
      <c r="F93" s="1">
        <v>366</v>
      </c>
      <c r="G93" s="1">
        <v>364.1</v>
      </c>
      <c r="H93" s="1">
        <v>364.8</v>
      </c>
      <c r="I93" s="1">
        <v>226.8</v>
      </c>
      <c r="J93" s="1">
        <v>227.7</v>
      </c>
    </row>
    <row r="94" spans="1:10">
      <c r="A94" t="s">
        <v>33</v>
      </c>
      <c r="B94">
        <v>2015</v>
      </c>
      <c r="C94" t="s">
        <v>39</v>
      </c>
      <c r="D94" s="31" t="str">
        <f t="shared" si="1"/>
        <v>2015-July</v>
      </c>
      <c r="E94" s="1">
        <v>1630.6000000000001</v>
      </c>
      <c r="F94" s="1">
        <v>364.8</v>
      </c>
      <c r="G94" s="1">
        <v>375.1</v>
      </c>
      <c r="H94" s="1">
        <v>365.6</v>
      </c>
      <c r="I94" s="1">
        <v>232.8</v>
      </c>
      <c r="J94" s="1">
        <v>231.3</v>
      </c>
    </row>
    <row r="95" spans="1:10" hidden="1">
      <c r="A95" t="s">
        <v>30</v>
      </c>
      <c r="B95">
        <v>2015</v>
      </c>
      <c r="C95" t="s">
        <v>40</v>
      </c>
      <c r="D95" s="31" t="str">
        <f t="shared" si="1"/>
        <v>2015-August</v>
      </c>
      <c r="E95" s="1">
        <v>1646.6</v>
      </c>
      <c r="F95" s="1">
        <v>366.8</v>
      </c>
      <c r="G95" s="1">
        <v>384.8</v>
      </c>
      <c r="H95" s="1">
        <v>368.20000000000005</v>
      </c>
      <c r="I95" s="1">
        <v>237.39999999999998</v>
      </c>
      <c r="J95" s="1">
        <v>233.6</v>
      </c>
    </row>
    <row r="96" spans="1:10" hidden="1">
      <c r="A96" t="s">
        <v>32</v>
      </c>
      <c r="B96">
        <v>2015</v>
      </c>
      <c r="C96" t="s">
        <v>40</v>
      </c>
      <c r="D96" s="31" t="str">
        <f t="shared" si="1"/>
        <v>2015-August</v>
      </c>
      <c r="E96" s="1">
        <v>1658.8999999999999</v>
      </c>
      <c r="F96" s="1">
        <v>367.59999999999997</v>
      </c>
      <c r="G96" s="1">
        <v>364.8</v>
      </c>
      <c r="H96" s="1">
        <v>367.1</v>
      </c>
      <c r="I96" s="1">
        <v>225.2</v>
      </c>
      <c r="J96" s="1">
        <v>228.6</v>
      </c>
    </row>
    <row r="97" spans="1:10">
      <c r="A97" t="s">
        <v>33</v>
      </c>
      <c r="B97">
        <v>2015</v>
      </c>
      <c r="C97" t="s">
        <v>40</v>
      </c>
      <c r="D97" s="31" t="str">
        <f t="shared" si="1"/>
        <v>2015-August</v>
      </c>
      <c r="E97" s="1">
        <v>1649.6</v>
      </c>
      <c r="F97" s="1">
        <v>366.2</v>
      </c>
      <c r="G97" s="1">
        <v>376.70000000000005</v>
      </c>
      <c r="H97" s="1">
        <v>368</v>
      </c>
      <c r="I97" s="1">
        <v>232.3</v>
      </c>
      <c r="J97" s="1">
        <v>231.7</v>
      </c>
    </row>
    <row r="98" spans="1:10" hidden="1">
      <c r="A98" t="s">
        <v>30</v>
      </c>
      <c r="B98">
        <v>2015</v>
      </c>
      <c r="C98" t="s">
        <v>41</v>
      </c>
      <c r="D98" s="31" t="str">
        <f t="shared" si="1"/>
        <v>2015-September</v>
      </c>
      <c r="E98" s="1">
        <v>1657.6000000000001</v>
      </c>
      <c r="F98" s="1">
        <v>369.4</v>
      </c>
      <c r="G98" s="1">
        <v>387.1</v>
      </c>
      <c r="H98" s="1">
        <v>370.6</v>
      </c>
      <c r="I98" s="1">
        <v>237.5</v>
      </c>
      <c r="J98" s="1">
        <v>235.10000000000002</v>
      </c>
    </row>
    <row r="99" spans="1:10" hidden="1">
      <c r="A99" t="s">
        <v>32</v>
      </c>
      <c r="B99">
        <v>2015</v>
      </c>
      <c r="C99" t="s">
        <v>41</v>
      </c>
      <c r="D99" s="31" t="str">
        <f t="shared" si="1"/>
        <v>2015-September</v>
      </c>
      <c r="E99" s="1">
        <v>1664.8</v>
      </c>
      <c r="F99" s="1">
        <v>368.2</v>
      </c>
      <c r="G99" s="1">
        <v>365.8</v>
      </c>
      <c r="H99" s="1">
        <v>368.5</v>
      </c>
      <c r="I99" s="1">
        <v>224.2</v>
      </c>
      <c r="J99" s="1">
        <v>230</v>
      </c>
    </row>
    <row r="100" spans="1:10">
      <c r="A100" t="s">
        <v>33</v>
      </c>
      <c r="B100">
        <v>2015</v>
      </c>
      <c r="C100" t="s">
        <v>41</v>
      </c>
      <c r="D100" s="31" t="str">
        <f t="shared" si="1"/>
        <v>2015-September</v>
      </c>
      <c r="E100" s="1">
        <v>1658.3000000000002</v>
      </c>
      <c r="F100" s="1">
        <v>367.8</v>
      </c>
      <c r="G100" s="1">
        <v>378.5</v>
      </c>
      <c r="H100" s="1">
        <v>369.9</v>
      </c>
      <c r="I100" s="1">
        <v>231.7</v>
      </c>
      <c r="J100" s="1">
        <v>233.2</v>
      </c>
    </row>
    <row r="101" spans="1:10" hidden="1">
      <c r="A101" t="s">
        <v>30</v>
      </c>
      <c r="B101">
        <v>2015</v>
      </c>
      <c r="C101" t="s">
        <v>42</v>
      </c>
      <c r="D101" s="31" t="str">
        <f t="shared" si="1"/>
        <v>2015-October</v>
      </c>
      <c r="E101" s="1">
        <v>1674.6</v>
      </c>
      <c r="F101" s="1">
        <v>370.8</v>
      </c>
      <c r="G101" s="1">
        <v>389</v>
      </c>
      <c r="H101" s="1">
        <v>372.6</v>
      </c>
      <c r="I101" s="1">
        <v>238.2</v>
      </c>
      <c r="J101" s="1">
        <v>236.2</v>
      </c>
    </row>
    <row r="102" spans="1:10" hidden="1">
      <c r="A102" t="s">
        <v>32</v>
      </c>
      <c r="B102">
        <v>2015</v>
      </c>
      <c r="C102" t="s">
        <v>42</v>
      </c>
      <c r="D102" s="31" t="str">
        <f t="shared" si="1"/>
        <v>2015-October</v>
      </c>
      <c r="E102" s="1">
        <v>1692.8000000000002</v>
      </c>
      <c r="F102" s="1">
        <v>369.5</v>
      </c>
      <c r="G102" s="1">
        <v>366.79999999999995</v>
      </c>
      <c r="H102" s="1">
        <v>369.6</v>
      </c>
      <c r="I102" s="1">
        <v>224.2</v>
      </c>
      <c r="J102" s="1">
        <v>231.2</v>
      </c>
    </row>
    <row r="103" spans="1:10">
      <c r="A103" t="s">
        <v>33</v>
      </c>
      <c r="B103">
        <v>2015</v>
      </c>
      <c r="C103" t="s">
        <v>42</v>
      </c>
      <c r="D103" s="31" t="str">
        <f t="shared" si="1"/>
        <v>2015-October</v>
      </c>
      <c r="E103" s="1">
        <v>1678.9999999999998</v>
      </c>
      <c r="F103" s="1">
        <v>369.1</v>
      </c>
      <c r="G103" s="1">
        <v>380.1</v>
      </c>
      <c r="H103" s="1">
        <v>371.3</v>
      </c>
      <c r="I103" s="1">
        <v>232.2</v>
      </c>
      <c r="J103" s="1">
        <v>234.3</v>
      </c>
    </row>
    <row r="104" spans="1:10" hidden="1">
      <c r="A104" t="s">
        <v>30</v>
      </c>
      <c r="B104">
        <v>2015</v>
      </c>
      <c r="C104" t="s">
        <v>44</v>
      </c>
      <c r="D104" s="31" t="str">
        <f t="shared" si="1"/>
        <v>2015-November</v>
      </c>
      <c r="E104" s="1">
        <v>1686.3</v>
      </c>
      <c r="F104" s="1">
        <v>372.7</v>
      </c>
      <c r="G104" s="1">
        <v>391.79999999999995</v>
      </c>
      <c r="H104" s="1">
        <v>374.3</v>
      </c>
      <c r="I104" s="1">
        <v>239.6</v>
      </c>
      <c r="J104" s="1">
        <v>236.8</v>
      </c>
    </row>
    <row r="105" spans="1:10" hidden="1">
      <c r="A105" t="s">
        <v>32</v>
      </c>
      <c r="B105">
        <v>2015</v>
      </c>
      <c r="C105" t="s">
        <v>44</v>
      </c>
      <c r="D105" s="31" t="str">
        <f t="shared" si="1"/>
        <v>2015-November</v>
      </c>
      <c r="E105" s="1">
        <v>1708.4999999999998</v>
      </c>
      <c r="F105" s="1">
        <v>372.1</v>
      </c>
      <c r="G105" s="1">
        <v>368.5</v>
      </c>
      <c r="H105" s="1">
        <v>370.5</v>
      </c>
      <c r="I105" s="1">
        <v>224.39999999999998</v>
      </c>
      <c r="J105" s="1">
        <v>231.39999999999998</v>
      </c>
    </row>
    <row r="106" spans="1:10">
      <c r="A106" t="s">
        <v>33</v>
      </c>
      <c r="B106">
        <v>2015</v>
      </c>
      <c r="C106" t="s">
        <v>44</v>
      </c>
      <c r="D106" s="31" t="str">
        <f t="shared" si="1"/>
        <v>2015-November</v>
      </c>
      <c r="E106" s="1">
        <v>1692.1</v>
      </c>
      <c r="F106" s="1">
        <v>370.9</v>
      </c>
      <c r="G106" s="1">
        <v>382.4</v>
      </c>
      <c r="H106" s="1">
        <v>372.6</v>
      </c>
      <c r="I106" s="1">
        <v>233.1</v>
      </c>
      <c r="J106" s="1">
        <v>234.7</v>
      </c>
    </row>
    <row r="107" spans="1:10" hidden="1">
      <c r="A107" t="s">
        <v>30</v>
      </c>
      <c r="B107">
        <v>2015</v>
      </c>
      <c r="C107" t="s">
        <v>45</v>
      </c>
      <c r="D107" s="31" t="str">
        <f t="shared" si="1"/>
        <v>2015-December</v>
      </c>
      <c r="E107" s="1">
        <v>1682.3000000000002</v>
      </c>
      <c r="F107" s="1">
        <v>374.5</v>
      </c>
      <c r="G107" s="1">
        <v>392.9</v>
      </c>
      <c r="H107" s="1">
        <v>374</v>
      </c>
      <c r="I107" s="1">
        <v>239.7</v>
      </c>
      <c r="J107" s="1">
        <v>237.2</v>
      </c>
    </row>
    <row r="108" spans="1:10" hidden="1">
      <c r="A108" t="s">
        <v>32</v>
      </c>
      <c r="B108">
        <v>2015</v>
      </c>
      <c r="C108" t="s">
        <v>45</v>
      </c>
      <c r="D108" s="31" t="str">
        <f t="shared" si="1"/>
        <v>2015-December</v>
      </c>
      <c r="E108" s="1">
        <v>1698.8</v>
      </c>
      <c r="F108" s="1">
        <v>372.99999999999994</v>
      </c>
      <c r="G108" s="1">
        <v>369.4</v>
      </c>
      <c r="H108" s="1">
        <v>370</v>
      </c>
      <c r="I108" s="1">
        <v>225.3</v>
      </c>
      <c r="J108" s="1">
        <v>231.8</v>
      </c>
    </row>
    <row r="109" spans="1:10">
      <c r="A109" t="s">
        <v>33</v>
      </c>
      <c r="B109">
        <v>2015</v>
      </c>
      <c r="C109" t="s">
        <v>45</v>
      </c>
      <c r="D109" s="31" t="str">
        <f t="shared" si="1"/>
        <v>2015-December</v>
      </c>
      <c r="E109" s="1">
        <v>1686.1000000000001</v>
      </c>
      <c r="F109" s="1">
        <v>372.4</v>
      </c>
      <c r="G109" s="1">
        <v>383.5</v>
      </c>
      <c r="H109" s="1">
        <v>372.2</v>
      </c>
      <c r="I109" s="1">
        <v>233.5</v>
      </c>
      <c r="J109" s="1">
        <v>235.10000000000002</v>
      </c>
    </row>
    <row r="110" spans="1:10" hidden="1">
      <c r="A110" t="s">
        <v>30</v>
      </c>
      <c r="B110">
        <v>2016</v>
      </c>
      <c r="C110" t="s">
        <v>31</v>
      </c>
      <c r="D110" s="31" t="str">
        <f t="shared" si="1"/>
        <v>2016-January</v>
      </c>
      <c r="E110" s="1">
        <v>1690.1000000000001</v>
      </c>
      <c r="F110" s="1">
        <v>375.1</v>
      </c>
      <c r="G110" s="1">
        <v>394.70000000000005</v>
      </c>
      <c r="H110" s="1">
        <v>376.2</v>
      </c>
      <c r="I110" s="1">
        <v>239.8</v>
      </c>
      <c r="J110" s="1">
        <v>238.60000000000002</v>
      </c>
    </row>
    <row r="111" spans="1:10" hidden="1">
      <c r="A111" t="s">
        <v>32</v>
      </c>
      <c r="B111">
        <v>2016</v>
      </c>
      <c r="C111" t="s">
        <v>31</v>
      </c>
      <c r="D111" s="31" t="str">
        <f t="shared" si="1"/>
        <v>2016-January</v>
      </c>
      <c r="E111" s="1">
        <v>1701.4</v>
      </c>
      <c r="F111" s="1">
        <v>374.8</v>
      </c>
      <c r="G111" s="1">
        <v>370.5</v>
      </c>
      <c r="H111" s="1">
        <v>371.4</v>
      </c>
      <c r="I111" s="1">
        <v>225.8</v>
      </c>
      <c r="J111" s="1">
        <v>233.1</v>
      </c>
    </row>
    <row r="112" spans="1:10">
      <c r="A112" t="s">
        <v>33</v>
      </c>
      <c r="B112">
        <v>2016</v>
      </c>
      <c r="C112" t="s">
        <v>31</v>
      </c>
      <c r="D112" s="31" t="str">
        <f t="shared" si="1"/>
        <v>2016-January</v>
      </c>
      <c r="E112" s="1">
        <v>1691.7</v>
      </c>
      <c r="F112" s="1">
        <v>373.5</v>
      </c>
      <c r="G112" s="1">
        <v>384.9</v>
      </c>
      <c r="H112" s="1">
        <v>373.90000000000003</v>
      </c>
      <c r="I112" s="1">
        <v>233.8</v>
      </c>
      <c r="J112" s="1">
        <v>236.5</v>
      </c>
    </row>
    <row r="113" spans="1:10" hidden="1">
      <c r="A113" t="s">
        <v>30</v>
      </c>
      <c r="B113">
        <v>2016</v>
      </c>
      <c r="C113" t="s">
        <v>34</v>
      </c>
      <c r="D113" s="31" t="str">
        <f t="shared" si="1"/>
        <v>2016-February</v>
      </c>
      <c r="E113" s="1">
        <v>1682.6</v>
      </c>
      <c r="F113" s="1">
        <v>377.6</v>
      </c>
      <c r="G113" s="1">
        <v>397.1</v>
      </c>
      <c r="H113" s="1">
        <v>378.6</v>
      </c>
      <c r="I113" s="1">
        <v>241.4</v>
      </c>
      <c r="J113" s="1">
        <v>241.1</v>
      </c>
    </row>
    <row r="114" spans="1:10" hidden="1">
      <c r="A114" t="s">
        <v>32</v>
      </c>
      <c r="B114">
        <v>2016</v>
      </c>
      <c r="C114" t="s">
        <v>34</v>
      </c>
      <c r="D114" s="31" t="str">
        <f t="shared" si="1"/>
        <v>2016-February</v>
      </c>
      <c r="E114" s="1">
        <v>1676.1</v>
      </c>
      <c r="F114" s="1">
        <v>376</v>
      </c>
      <c r="G114" s="1">
        <v>371.6</v>
      </c>
      <c r="H114" s="1">
        <v>372.5</v>
      </c>
      <c r="I114" s="1">
        <v>225.1</v>
      </c>
      <c r="J114" s="1">
        <v>235.7</v>
      </c>
    </row>
    <row r="115" spans="1:10">
      <c r="A115" t="s">
        <v>33</v>
      </c>
      <c r="B115">
        <v>2016</v>
      </c>
      <c r="C115" t="s">
        <v>34</v>
      </c>
      <c r="D115" s="31" t="str">
        <f t="shared" si="1"/>
        <v>2016-February</v>
      </c>
      <c r="E115" s="1">
        <v>1678.1</v>
      </c>
      <c r="F115" s="1">
        <v>375.29999999999995</v>
      </c>
      <c r="G115" s="1">
        <v>386.9</v>
      </c>
      <c r="H115" s="1">
        <v>375.6</v>
      </c>
      <c r="I115" s="1">
        <v>234.5</v>
      </c>
      <c r="J115" s="1">
        <v>239.1</v>
      </c>
    </row>
    <row r="116" spans="1:10" hidden="1">
      <c r="A116" t="s">
        <v>30</v>
      </c>
      <c r="B116">
        <v>2016</v>
      </c>
      <c r="C116" t="s">
        <v>35</v>
      </c>
      <c r="D116" s="31" t="str">
        <f t="shared" si="1"/>
        <v>2016-March</v>
      </c>
      <c r="E116" s="1">
        <v>1682.7000000000003</v>
      </c>
      <c r="F116" s="1">
        <v>378.6</v>
      </c>
      <c r="G116" s="1">
        <v>398.40000000000003</v>
      </c>
      <c r="H116" s="1">
        <v>380.1</v>
      </c>
      <c r="I116" s="1">
        <v>240.6</v>
      </c>
      <c r="J116" s="1">
        <v>242.2</v>
      </c>
    </row>
    <row r="117" spans="1:10" hidden="1">
      <c r="A117" t="s">
        <v>32</v>
      </c>
      <c r="B117">
        <v>2016</v>
      </c>
      <c r="C117" t="s">
        <v>35</v>
      </c>
      <c r="D117" s="31" t="str">
        <f t="shared" si="1"/>
        <v>2016-March</v>
      </c>
      <c r="E117" s="1">
        <v>1667.6000000000001</v>
      </c>
      <c r="F117" s="1">
        <v>377</v>
      </c>
      <c r="G117" s="1">
        <v>372.2</v>
      </c>
      <c r="H117" s="1">
        <v>373.6</v>
      </c>
      <c r="I117" s="1">
        <v>223.3</v>
      </c>
      <c r="J117" s="1">
        <v>236.8</v>
      </c>
    </row>
    <row r="118" spans="1:10">
      <c r="A118" t="s">
        <v>33</v>
      </c>
      <c r="B118">
        <v>2016</v>
      </c>
      <c r="C118" t="s">
        <v>35</v>
      </c>
      <c r="D118" s="31" t="str">
        <f t="shared" si="1"/>
        <v>2016-March</v>
      </c>
      <c r="E118" s="1">
        <v>1675.2</v>
      </c>
      <c r="F118" s="1">
        <v>376.40000000000003</v>
      </c>
      <c r="G118" s="1">
        <v>387.9</v>
      </c>
      <c r="H118" s="1">
        <v>376.9</v>
      </c>
      <c r="I118" s="1">
        <v>233.3</v>
      </c>
      <c r="J118" s="1">
        <v>240.2</v>
      </c>
    </row>
    <row r="119" spans="1:10" hidden="1">
      <c r="A119" t="s">
        <v>30</v>
      </c>
      <c r="B119">
        <v>2016</v>
      </c>
      <c r="C119" t="s">
        <v>36</v>
      </c>
      <c r="D119" s="31" t="str">
        <f t="shared" si="1"/>
        <v>2016-April</v>
      </c>
      <c r="E119" s="1">
        <v>1701.6000000000004</v>
      </c>
      <c r="F119" s="1">
        <v>380.4</v>
      </c>
      <c r="G119" s="1">
        <v>400</v>
      </c>
      <c r="H119" s="1">
        <v>381.5</v>
      </c>
      <c r="I119" s="1">
        <v>241.4</v>
      </c>
      <c r="J119" s="1">
        <v>243.60000000000002</v>
      </c>
    </row>
    <row r="120" spans="1:10" hidden="1">
      <c r="A120" t="s">
        <v>32</v>
      </c>
      <c r="B120">
        <v>2016</v>
      </c>
      <c r="C120" t="s">
        <v>36</v>
      </c>
      <c r="D120" s="31" t="str">
        <f t="shared" si="1"/>
        <v>2016-April</v>
      </c>
      <c r="E120" s="1">
        <v>1706.3</v>
      </c>
      <c r="F120" s="1">
        <v>379.2</v>
      </c>
      <c r="G120" s="1">
        <v>373.1</v>
      </c>
      <c r="H120" s="1">
        <v>376</v>
      </c>
      <c r="I120" s="1">
        <v>224.6</v>
      </c>
      <c r="J120" s="1">
        <v>237.6</v>
      </c>
    </row>
    <row r="121" spans="1:10">
      <c r="A121" t="s">
        <v>33</v>
      </c>
      <c r="B121">
        <v>2016</v>
      </c>
      <c r="C121" t="s">
        <v>36</v>
      </c>
      <c r="D121" s="31" t="str">
        <f t="shared" si="1"/>
        <v>2016-April</v>
      </c>
      <c r="E121" s="1">
        <v>1701.3</v>
      </c>
      <c r="F121" s="1">
        <v>378.2</v>
      </c>
      <c r="G121" s="1">
        <v>389.20000000000005</v>
      </c>
      <c r="H121" s="1">
        <v>378.8</v>
      </c>
      <c r="I121" s="1">
        <v>234.39999999999998</v>
      </c>
      <c r="J121" s="1">
        <v>241.3</v>
      </c>
    </row>
    <row r="122" spans="1:10" hidden="1">
      <c r="A122" t="s">
        <v>30</v>
      </c>
      <c r="B122">
        <v>2016</v>
      </c>
      <c r="C122" t="s">
        <v>37</v>
      </c>
      <c r="D122" s="31" t="str">
        <f t="shared" si="1"/>
        <v>2016-May</v>
      </c>
      <c r="E122" s="1">
        <v>1723.6999999999998</v>
      </c>
      <c r="F122" s="1">
        <v>382.1</v>
      </c>
      <c r="G122" s="1">
        <v>401.3</v>
      </c>
      <c r="H122" s="1">
        <v>383.6</v>
      </c>
      <c r="I122" s="1">
        <v>242.5</v>
      </c>
      <c r="J122" s="1">
        <v>245.5</v>
      </c>
    </row>
    <row r="123" spans="1:10" hidden="1">
      <c r="A123" t="s">
        <v>32</v>
      </c>
      <c r="B123">
        <v>2016</v>
      </c>
      <c r="C123" t="s">
        <v>37</v>
      </c>
      <c r="D123" s="31" t="str">
        <f t="shared" si="1"/>
        <v>2016-May</v>
      </c>
      <c r="E123" s="1">
        <v>1746.7999999999997</v>
      </c>
      <c r="F123" s="1">
        <v>380.7</v>
      </c>
      <c r="G123" s="1">
        <v>374.1</v>
      </c>
      <c r="H123" s="1">
        <v>377.2</v>
      </c>
      <c r="I123" s="1">
        <v>225.7</v>
      </c>
      <c r="J123" s="1">
        <v>238.8</v>
      </c>
    </row>
    <row r="124" spans="1:10">
      <c r="A124" t="s">
        <v>33</v>
      </c>
      <c r="B124">
        <v>2016</v>
      </c>
      <c r="C124" t="s">
        <v>37</v>
      </c>
      <c r="D124" s="31" t="str">
        <f t="shared" si="1"/>
        <v>2016-May</v>
      </c>
      <c r="E124" s="1">
        <v>1730.4</v>
      </c>
      <c r="F124" s="1">
        <v>379.9</v>
      </c>
      <c r="G124" s="1">
        <v>390.4</v>
      </c>
      <c r="H124" s="1">
        <v>380.5</v>
      </c>
      <c r="I124" s="1">
        <v>235.5</v>
      </c>
      <c r="J124" s="1">
        <v>242.9</v>
      </c>
    </row>
    <row r="125" spans="1:10" hidden="1">
      <c r="A125" t="s">
        <v>30</v>
      </c>
      <c r="B125">
        <v>2016</v>
      </c>
      <c r="C125" t="s">
        <v>38</v>
      </c>
      <c r="D125" s="31" t="str">
        <f t="shared" si="1"/>
        <v>2016-June</v>
      </c>
      <c r="E125" s="1">
        <v>1748.6</v>
      </c>
      <c r="F125" s="1">
        <v>384.59999999999997</v>
      </c>
      <c r="G125" s="1">
        <v>403.5</v>
      </c>
      <c r="H125" s="1">
        <v>385</v>
      </c>
      <c r="I125" s="1">
        <v>244.3</v>
      </c>
      <c r="J125" s="1">
        <v>246.10000000000002</v>
      </c>
    </row>
    <row r="126" spans="1:10" hidden="1">
      <c r="A126" t="s">
        <v>32</v>
      </c>
      <c r="B126">
        <v>2016</v>
      </c>
      <c r="C126" t="s">
        <v>38</v>
      </c>
      <c r="D126" s="31" t="str">
        <f t="shared" si="1"/>
        <v>2016-June</v>
      </c>
      <c r="E126" s="1">
        <v>1787.0000000000002</v>
      </c>
      <c r="F126" s="1">
        <v>382.20000000000005</v>
      </c>
      <c r="G126" s="1">
        <v>375.29999999999995</v>
      </c>
      <c r="H126" s="1">
        <v>378</v>
      </c>
      <c r="I126" s="1">
        <v>227.8</v>
      </c>
      <c r="J126" s="1">
        <v>239.39999999999998</v>
      </c>
    </row>
    <row r="127" spans="1:10">
      <c r="A127" t="s">
        <v>33</v>
      </c>
      <c r="B127">
        <v>2016</v>
      </c>
      <c r="C127" t="s">
        <v>38</v>
      </c>
      <c r="D127" s="31" t="str">
        <f t="shared" si="1"/>
        <v>2016-June</v>
      </c>
      <c r="E127" s="1">
        <v>1760.6</v>
      </c>
      <c r="F127" s="1">
        <v>381.9</v>
      </c>
      <c r="G127" s="1">
        <v>392.1</v>
      </c>
      <c r="H127" s="1">
        <v>381.6</v>
      </c>
      <c r="I127" s="1">
        <v>237.5</v>
      </c>
      <c r="J127" s="1">
        <v>243.5</v>
      </c>
    </row>
    <row r="128" spans="1:10" hidden="1">
      <c r="A128" t="s">
        <v>30</v>
      </c>
      <c r="B128">
        <v>2016</v>
      </c>
      <c r="C128" t="s">
        <v>39</v>
      </c>
      <c r="D128" s="31" t="str">
        <f t="shared" si="1"/>
        <v>2016-July</v>
      </c>
      <c r="E128" s="1">
        <v>1770.2999999999997</v>
      </c>
      <c r="F128" s="1">
        <v>387</v>
      </c>
      <c r="G128" s="1">
        <v>405.9</v>
      </c>
      <c r="H128" s="1">
        <v>387.2</v>
      </c>
      <c r="I128" s="1">
        <v>244.6</v>
      </c>
      <c r="J128" s="1">
        <v>247.60000000000002</v>
      </c>
    </row>
    <row r="129" spans="1:10" hidden="1">
      <c r="A129" t="s">
        <v>32</v>
      </c>
      <c r="B129">
        <v>2016</v>
      </c>
      <c r="C129" t="s">
        <v>39</v>
      </c>
      <c r="D129" s="31" t="str">
        <f t="shared" si="1"/>
        <v>2016-July</v>
      </c>
      <c r="E129" s="1">
        <v>1811.5000000000002</v>
      </c>
      <c r="F129" s="1">
        <v>383.1</v>
      </c>
      <c r="G129" s="1">
        <v>375.9</v>
      </c>
      <c r="H129" s="1">
        <v>380.70000000000005</v>
      </c>
      <c r="I129" s="1">
        <v>227.2</v>
      </c>
      <c r="J129" s="1">
        <v>240.9</v>
      </c>
    </row>
    <row r="130" spans="1:10">
      <c r="A130" t="s">
        <v>33</v>
      </c>
      <c r="B130">
        <v>2016</v>
      </c>
      <c r="C130" t="s">
        <v>39</v>
      </c>
      <c r="D130" s="31" t="str">
        <f t="shared" si="1"/>
        <v>2016-July</v>
      </c>
      <c r="E130" s="1">
        <v>1783.5</v>
      </c>
      <c r="F130" s="1">
        <v>383.6</v>
      </c>
      <c r="G130" s="1">
        <v>393.8</v>
      </c>
      <c r="H130" s="1">
        <v>384.1</v>
      </c>
      <c r="I130" s="1">
        <v>237.3</v>
      </c>
      <c r="J130" s="1">
        <v>245</v>
      </c>
    </row>
    <row r="131" spans="1:10" hidden="1">
      <c r="A131" t="s">
        <v>30</v>
      </c>
      <c r="B131">
        <v>2016</v>
      </c>
      <c r="C131" t="s">
        <v>40</v>
      </c>
      <c r="D131" s="31" t="str">
        <f t="shared" ref="D131:D194" si="2">CONCATENATE(B131,"-",C131)</f>
        <v>2016-August</v>
      </c>
      <c r="E131" s="1">
        <v>1777.4999999999998</v>
      </c>
      <c r="F131" s="1">
        <v>388.59999999999997</v>
      </c>
      <c r="G131" s="1">
        <v>407.9</v>
      </c>
      <c r="H131" s="1">
        <v>389.79999999999995</v>
      </c>
      <c r="I131" s="1">
        <v>245.1</v>
      </c>
      <c r="J131" s="1">
        <v>249</v>
      </c>
    </row>
    <row r="132" spans="1:10" hidden="1">
      <c r="A132" t="s">
        <v>32</v>
      </c>
      <c r="B132">
        <v>2016</v>
      </c>
      <c r="C132" t="s">
        <v>40</v>
      </c>
      <c r="D132" s="31" t="str">
        <f t="shared" si="2"/>
        <v>2016-August</v>
      </c>
      <c r="E132" s="1">
        <v>1783.9999999999995</v>
      </c>
      <c r="F132" s="1">
        <v>384.1</v>
      </c>
      <c r="G132" s="1">
        <v>377</v>
      </c>
      <c r="H132" s="1">
        <v>382.7</v>
      </c>
      <c r="I132" s="1">
        <v>225.10000000000002</v>
      </c>
      <c r="J132" s="1">
        <v>242.10000000000002</v>
      </c>
    </row>
    <row r="133" spans="1:10">
      <c r="A133" t="s">
        <v>33</v>
      </c>
      <c r="B133">
        <v>2016</v>
      </c>
      <c r="C133" t="s">
        <v>40</v>
      </c>
      <c r="D133" s="31" t="str">
        <f t="shared" si="2"/>
        <v>2016-August</v>
      </c>
      <c r="E133" s="1">
        <v>1777.9</v>
      </c>
      <c r="F133" s="1">
        <v>385</v>
      </c>
      <c r="G133" s="1">
        <v>395.49999999999994</v>
      </c>
      <c r="H133" s="1">
        <v>386.4</v>
      </c>
      <c r="I133" s="1">
        <v>236.7</v>
      </c>
      <c r="J133" s="1">
        <v>246.3</v>
      </c>
    </row>
    <row r="134" spans="1:10" hidden="1">
      <c r="A134" t="s">
        <v>30</v>
      </c>
      <c r="B134">
        <v>2016</v>
      </c>
      <c r="C134" t="s">
        <v>41</v>
      </c>
      <c r="D134" s="31" t="str">
        <f t="shared" si="2"/>
        <v>2016-September</v>
      </c>
      <c r="E134" s="1">
        <v>1770.7</v>
      </c>
      <c r="F134" s="1">
        <v>390.5</v>
      </c>
      <c r="G134" s="1">
        <v>409.8</v>
      </c>
      <c r="H134" s="1">
        <v>391.2</v>
      </c>
      <c r="I134" s="1">
        <v>246.7</v>
      </c>
      <c r="J134" s="1">
        <v>250.6</v>
      </c>
    </row>
    <row r="135" spans="1:10" hidden="1">
      <c r="A135" t="s">
        <v>32</v>
      </c>
      <c r="B135">
        <v>2016</v>
      </c>
      <c r="C135" t="s">
        <v>41</v>
      </c>
      <c r="D135" s="31" t="str">
        <f t="shared" si="2"/>
        <v>2016-September</v>
      </c>
      <c r="E135" s="1">
        <v>1756.3999999999996</v>
      </c>
      <c r="F135" s="1">
        <v>385.2</v>
      </c>
      <c r="G135" s="1">
        <v>378</v>
      </c>
      <c r="H135" s="1">
        <v>383.79999999999995</v>
      </c>
      <c r="I135" s="1">
        <v>226.6</v>
      </c>
      <c r="J135" s="1">
        <v>242.60000000000002</v>
      </c>
    </row>
    <row r="136" spans="1:10">
      <c r="A136" t="s">
        <v>33</v>
      </c>
      <c r="B136">
        <v>2016</v>
      </c>
      <c r="C136" t="s">
        <v>41</v>
      </c>
      <c r="D136" s="31" t="str">
        <f t="shared" si="2"/>
        <v>2016-September</v>
      </c>
      <c r="E136" s="1">
        <v>1763.6999999999998</v>
      </c>
      <c r="F136" s="1">
        <v>386.7</v>
      </c>
      <c r="G136" s="1">
        <v>397</v>
      </c>
      <c r="H136" s="1">
        <v>387.6</v>
      </c>
      <c r="I136" s="1">
        <v>238.39999999999998</v>
      </c>
      <c r="J136" s="1">
        <v>247.5</v>
      </c>
    </row>
    <row r="137" spans="1:10" hidden="1">
      <c r="A137" t="s">
        <v>30</v>
      </c>
      <c r="B137">
        <v>2016</v>
      </c>
      <c r="C137" t="s">
        <v>42</v>
      </c>
      <c r="D137" s="31" t="str">
        <f t="shared" si="2"/>
        <v>2016-October</v>
      </c>
      <c r="E137" s="1">
        <v>1771.8000000000002</v>
      </c>
      <c r="F137" s="1">
        <v>393.09999999999997</v>
      </c>
      <c r="G137" s="1">
        <v>412.7</v>
      </c>
      <c r="H137" s="1">
        <v>393.5</v>
      </c>
      <c r="I137" s="1">
        <v>247.60000000000002</v>
      </c>
      <c r="J137" s="1">
        <v>251.7</v>
      </c>
    </row>
    <row r="138" spans="1:10" hidden="1">
      <c r="A138" t="s">
        <v>32</v>
      </c>
      <c r="B138">
        <v>2016</v>
      </c>
      <c r="C138" t="s">
        <v>42</v>
      </c>
      <c r="D138" s="31" t="str">
        <f t="shared" si="2"/>
        <v>2016-October</v>
      </c>
      <c r="E138" s="1">
        <v>1762.8999999999999</v>
      </c>
      <c r="F138" s="1">
        <v>386.4</v>
      </c>
      <c r="G138" s="1">
        <v>379</v>
      </c>
      <c r="H138" s="1">
        <v>385.1</v>
      </c>
      <c r="I138" s="1">
        <v>228</v>
      </c>
      <c r="J138" s="1">
        <v>242.6</v>
      </c>
    </row>
    <row r="139" spans="1:10">
      <c r="A139" t="s">
        <v>33</v>
      </c>
      <c r="B139">
        <v>2016</v>
      </c>
      <c r="C139" t="s">
        <v>42</v>
      </c>
      <c r="D139" s="31" t="str">
        <f t="shared" si="2"/>
        <v>2016-October</v>
      </c>
      <c r="E139" s="1">
        <v>1766.7999999999995</v>
      </c>
      <c r="F139" s="1">
        <v>388.70000000000005</v>
      </c>
      <c r="G139" s="1">
        <v>399.1</v>
      </c>
      <c r="H139" s="1">
        <v>389.5</v>
      </c>
      <c r="I139" s="1">
        <v>239.5</v>
      </c>
      <c r="J139" s="1">
        <v>248.2</v>
      </c>
    </row>
    <row r="140" spans="1:10" hidden="1">
      <c r="A140" t="s">
        <v>30</v>
      </c>
      <c r="B140">
        <v>2016</v>
      </c>
      <c r="C140" t="s">
        <v>44</v>
      </c>
      <c r="D140" s="31" t="str">
        <f t="shared" si="2"/>
        <v>2016-November</v>
      </c>
      <c r="E140" s="1">
        <v>1764.6</v>
      </c>
      <c r="F140" s="1">
        <v>394.20000000000005</v>
      </c>
      <c r="G140" s="1">
        <v>413.59999999999997</v>
      </c>
      <c r="H140" s="1">
        <v>394.9</v>
      </c>
      <c r="I140" s="1">
        <v>248.5</v>
      </c>
      <c r="J140" s="1">
        <v>252.6</v>
      </c>
    </row>
    <row r="141" spans="1:10" hidden="1">
      <c r="A141" t="s">
        <v>32</v>
      </c>
      <c r="B141">
        <v>2016</v>
      </c>
      <c r="C141" t="s">
        <v>44</v>
      </c>
      <c r="D141" s="31" t="str">
        <f t="shared" si="2"/>
        <v>2016-November</v>
      </c>
      <c r="E141" s="1">
        <v>1755.2</v>
      </c>
      <c r="F141" s="1">
        <v>387.3</v>
      </c>
      <c r="G141" s="1">
        <v>380.2</v>
      </c>
      <c r="H141" s="1">
        <v>385.9</v>
      </c>
      <c r="I141" s="1">
        <v>229.60000000000002</v>
      </c>
      <c r="J141" s="1">
        <v>243.39999999999998</v>
      </c>
    </row>
    <row r="142" spans="1:10">
      <c r="A142" t="s">
        <v>33</v>
      </c>
      <c r="B142">
        <v>2016</v>
      </c>
      <c r="C142" t="s">
        <v>44</v>
      </c>
      <c r="D142" s="31" t="str">
        <f t="shared" si="2"/>
        <v>2016-November</v>
      </c>
      <c r="E142" s="1">
        <v>1759.8</v>
      </c>
      <c r="F142" s="1">
        <v>389.8</v>
      </c>
      <c r="G142" s="1">
        <v>400.1</v>
      </c>
      <c r="H142" s="1">
        <v>390.5</v>
      </c>
      <c r="I142" s="1">
        <v>240.7</v>
      </c>
      <c r="J142" s="1">
        <v>249</v>
      </c>
    </row>
    <row r="143" spans="1:10" hidden="1">
      <c r="A143" t="s">
        <v>30</v>
      </c>
      <c r="B143">
        <v>2016</v>
      </c>
      <c r="C143" t="s">
        <v>45</v>
      </c>
      <c r="D143" s="31" t="str">
        <f t="shared" si="2"/>
        <v>2016-December</v>
      </c>
      <c r="E143" s="1">
        <v>1749.1</v>
      </c>
      <c r="F143" s="1">
        <v>396</v>
      </c>
      <c r="G143" s="1">
        <v>415.3</v>
      </c>
      <c r="H143" s="1">
        <v>395.59999999999997</v>
      </c>
      <c r="I143" s="1">
        <v>250.6</v>
      </c>
      <c r="J143" s="1">
        <v>251.6</v>
      </c>
    </row>
    <row r="144" spans="1:10" hidden="1">
      <c r="A144" t="s">
        <v>32</v>
      </c>
      <c r="B144">
        <v>2016</v>
      </c>
      <c r="C144" t="s">
        <v>45</v>
      </c>
      <c r="D144" s="31" t="str">
        <f t="shared" si="2"/>
        <v>2016-December</v>
      </c>
      <c r="E144" s="1">
        <v>1729.8</v>
      </c>
      <c r="F144" s="1">
        <v>388.20000000000005</v>
      </c>
      <c r="G144" s="1">
        <v>381</v>
      </c>
      <c r="H144" s="1">
        <v>385.8</v>
      </c>
      <c r="I144" s="1">
        <v>231.5</v>
      </c>
      <c r="J144" s="1">
        <v>242.2</v>
      </c>
    </row>
    <row r="145" spans="1:10">
      <c r="A145" t="s">
        <v>33</v>
      </c>
      <c r="B145">
        <v>2016</v>
      </c>
      <c r="C145" t="s">
        <v>45</v>
      </c>
      <c r="D145" s="31" t="str">
        <f t="shared" si="2"/>
        <v>2016-December</v>
      </c>
      <c r="E145" s="1">
        <v>1740.7</v>
      </c>
      <c r="F145" s="1">
        <v>391.20000000000005</v>
      </c>
      <c r="G145" s="1">
        <v>401.5</v>
      </c>
      <c r="H145" s="1">
        <v>390.79999999999995</v>
      </c>
      <c r="I145" s="1">
        <v>242.6</v>
      </c>
      <c r="J145" s="1">
        <v>248</v>
      </c>
    </row>
    <row r="146" spans="1:10" hidden="1">
      <c r="A146" t="s">
        <v>30</v>
      </c>
      <c r="B146">
        <v>2017</v>
      </c>
      <c r="C146" t="s">
        <v>31</v>
      </c>
      <c r="D146" s="31" t="str">
        <f t="shared" si="2"/>
        <v>2017-January</v>
      </c>
      <c r="E146" s="1">
        <v>1737.3000000000002</v>
      </c>
      <c r="F146" s="1">
        <v>396.70000000000005</v>
      </c>
      <c r="G146" s="1">
        <v>416.5</v>
      </c>
      <c r="H146" s="1">
        <v>397.4</v>
      </c>
      <c r="I146" s="1">
        <v>251.2</v>
      </c>
      <c r="J146" s="1">
        <v>252.2</v>
      </c>
    </row>
    <row r="147" spans="1:10" hidden="1">
      <c r="A147" t="s">
        <v>32</v>
      </c>
      <c r="B147">
        <v>2017</v>
      </c>
      <c r="C147" t="s">
        <v>31</v>
      </c>
      <c r="D147" s="31" t="str">
        <f t="shared" si="2"/>
        <v>2017-January</v>
      </c>
      <c r="E147" s="1">
        <v>1713.2</v>
      </c>
      <c r="F147" s="1">
        <v>389.70000000000005</v>
      </c>
      <c r="G147" s="1">
        <v>381.5</v>
      </c>
      <c r="H147" s="1">
        <v>387.1</v>
      </c>
      <c r="I147" s="1">
        <v>233.2</v>
      </c>
      <c r="J147" s="1">
        <v>243.5</v>
      </c>
    </row>
    <row r="148" spans="1:10">
      <c r="A148" t="s">
        <v>33</v>
      </c>
      <c r="B148">
        <v>2017</v>
      </c>
      <c r="C148" t="s">
        <v>31</v>
      </c>
      <c r="D148" s="31" t="str">
        <f t="shared" si="2"/>
        <v>2017-January</v>
      </c>
      <c r="E148" s="1">
        <v>1727.2999999999995</v>
      </c>
      <c r="F148" s="1">
        <v>392.4</v>
      </c>
      <c r="G148" s="1">
        <v>402.4</v>
      </c>
      <c r="H148" s="1">
        <v>392.3</v>
      </c>
      <c r="I148" s="1">
        <v>243.8</v>
      </c>
      <c r="J148" s="1">
        <v>248.8</v>
      </c>
    </row>
    <row r="149" spans="1:10" hidden="1">
      <c r="A149" t="s">
        <v>30</v>
      </c>
      <c r="B149">
        <v>2017</v>
      </c>
      <c r="C149" t="s">
        <v>34</v>
      </c>
      <c r="D149" s="31" t="str">
        <f t="shared" si="2"/>
        <v>2017-February</v>
      </c>
      <c r="E149" s="1">
        <v>1734.5000000000002</v>
      </c>
      <c r="F149" s="1">
        <v>398.4</v>
      </c>
      <c r="G149" s="1">
        <v>416.90000000000003</v>
      </c>
      <c r="H149" s="1">
        <v>399</v>
      </c>
      <c r="I149" s="1">
        <v>252.7</v>
      </c>
      <c r="J149" s="1">
        <v>253.3</v>
      </c>
    </row>
    <row r="150" spans="1:10" hidden="1">
      <c r="A150" t="s">
        <v>32</v>
      </c>
      <c r="B150">
        <v>2017</v>
      </c>
      <c r="C150" t="s">
        <v>34</v>
      </c>
      <c r="D150" s="31" t="str">
        <f t="shared" si="2"/>
        <v>2017-February</v>
      </c>
      <c r="E150" s="1">
        <v>1705.3000000000002</v>
      </c>
      <c r="F150" s="1">
        <v>390.9</v>
      </c>
      <c r="G150" s="1">
        <v>382.3</v>
      </c>
      <c r="H150" s="1">
        <v>388.20000000000005</v>
      </c>
      <c r="I150" s="1">
        <v>234.7</v>
      </c>
      <c r="J150" s="1">
        <v>244.60000000000002</v>
      </c>
    </row>
    <row r="151" spans="1:10">
      <c r="A151" t="s">
        <v>33</v>
      </c>
      <c r="B151">
        <v>2017</v>
      </c>
      <c r="C151" t="s">
        <v>34</v>
      </c>
      <c r="D151" s="31" t="str">
        <f t="shared" si="2"/>
        <v>2017-February</v>
      </c>
      <c r="E151" s="1">
        <v>1722.3000000000002</v>
      </c>
      <c r="F151" s="1">
        <v>393.8</v>
      </c>
      <c r="G151" s="1">
        <v>403</v>
      </c>
      <c r="H151" s="1">
        <v>393.6</v>
      </c>
      <c r="I151" s="1">
        <v>245.3</v>
      </c>
      <c r="J151" s="1">
        <v>250</v>
      </c>
    </row>
    <row r="152" spans="1:10" hidden="1">
      <c r="A152" t="s">
        <v>30</v>
      </c>
      <c r="B152">
        <v>2017</v>
      </c>
      <c r="C152" t="s">
        <v>35</v>
      </c>
      <c r="D152" s="31" t="str">
        <f t="shared" si="2"/>
        <v>2017-March</v>
      </c>
      <c r="E152" s="1">
        <v>1728.5000000000002</v>
      </c>
      <c r="F152" s="1">
        <v>399.9</v>
      </c>
      <c r="G152" s="1">
        <v>418.59999999999997</v>
      </c>
      <c r="H152" s="1">
        <v>400.4</v>
      </c>
      <c r="I152" s="1">
        <v>254</v>
      </c>
      <c r="J152" s="1">
        <v>253.89999999999998</v>
      </c>
    </row>
    <row r="153" spans="1:10" hidden="1">
      <c r="A153" t="s">
        <v>32</v>
      </c>
      <c r="B153">
        <v>2017</v>
      </c>
      <c r="C153" t="s">
        <v>35</v>
      </c>
      <c r="D153" s="31" t="str">
        <f t="shared" si="2"/>
        <v>2017-March</v>
      </c>
      <c r="E153" s="1">
        <v>1705.6999999999998</v>
      </c>
      <c r="F153" s="1">
        <v>392.5</v>
      </c>
      <c r="G153" s="1">
        <v>383.20000000000005</v>
      </c>
      <c r="H153" s="1">
        <v>389.5</v>
      </c>
      <c r="I153" s="1">
        <v>236.39999999999998</v>
      </c>
      <c r="J153" s="1">
        <v>244.8</v>
      </c>
    </row>
    <row r="154" spans="1:10">
      <c r="A154" t="s">
        <v>33</v>
      </c>
      <c r="B154">
        <v>2017</v>
      </c>
      <c r="C154" t="s">
        <v>35</v>
      </c>
      <c r="D154" s="31" t="str">
        <f t="shared" si="2"/>
        <v>2017-March</v>
      </c>
      <c r="E154" s="1">
        <v>1718.9</v>
      </c>
      <c r="F154" s="1">
        <v>395.20000000000005</v>
      </c>
      <c r="G154" s="1">
        <v>404.29999999999995</v>
      </c>
      <c r="H154" s="1">
        <v>395</v>
      </c>
      <c r="I154" s="1">
        <v>246.7</v>
      </c>
      <c r="J154" s="1">
        <v>250.39999999999998</v>
      </c>
    </row>
    <row r="155" spans="1:10" hidden="1">
      <c r="A155" t="s">
        <v>30</v>
      </c>
      <c r="B155">
        <v>2017</v>
      </c>
      <c r="C155" t="s">
        <v>36</v>
      </c>
      <c r="D155" s="31" t="str">
        <f t="shared" si="2"/>
        <v>2017-April</v>
      </c>
      <c r="E155" s="1">
        <v>1726.3</v>
      </c>
      <c r="F155" s="1">
        <v>400.20000000000005</v>
      </c>
      <c r="G155" s="1">
        <v>420.80000000000007</v>
      </c>
      <c r="H155" s="1">
        <v>401.7</v>
      </c>
      <c r="I155" s="1">
        <v>254.2</v>
      </c>
      <c r="J155" s="1">
        <v>254.7</v>
      </c>
    </row>
    <row r="156" spans="1:10" hidden="1">
      <c r="A156" t="s">
        <v>32</v>
      </c>
      <c r="B156">
        <v>2017</v>
      </c>
      <c r="C156" t="s">
        <v>36</v>
      </c>
      <c r="D156" s="31" t="str">
        <f t="shared" si="2"/>
        <v>2017-April</v>
      </c>
      <c r="E156" s="1">
        <v>1708.1</v>
      </c>
      <c r="F156" s="1">
        <v>393.1</v>
      </c>
      <c r="G156" s="1">
        <v>384.2</v>
      </c>
      <c r="H156" s="1">
        <v>391.29999999999995</v>
      </c>
      <c r="I156" s="1">
        <v>235.7</v>
      </c>
      <c r="J156" s="1">
        <v>245.60000000000002</v>
      </c>
    </row>
    <row r="157" spans="1:10">
      <c r="A157" t="s">
        <v>33</v>
      </c>
      <c r="B157">
        <v>2017</v>
      </c>
      <c r="C157" t="s">
        <v>36</v>
      </c>
      <c r="D157" s="31" t="str">
        <f t="shared" si="2"/>
        <v>2017-April</v>
      </c>
      <c r="E157" s="1">
        <v>1718.4</v>
      </c>
      <c r="F157" s="1">
        <v>395.6</v>
      </c>
      <c r="G157" s="1">
        <v>406.1</v>
      </c>
      <c r="H157" s="1">
        <v>396.6</v>
      </c>
      <c r="I157" s="1">
        <v>246.4</v>
      </c>
      <c r="J157" s="1">
        <v>251.2</v>
      </c>
    </row>
    <row r="158" spans="1:10" hidden="1">
      <c r="A158" t="s">
        <v>30</v>
      </c>
      <c r="B158">
        <v>2017</v>
      </c>
      <c r="C158" t="s">
        <v>37</v>
      </c>
      <c r="D158" s="31" t="str">
        <f t="shared" si="2"/>
        <v>2017-May</v>
      </c>
      <c r="E158" s="1">
        <v>1727.4999999999995</v>
      </c>
      <c r="F158" s="1">
        <v>402.79999999999995</v>
      </c>
      <c r="G158" s="1">
        <v>421.6</v>
      </c>
      <c r="H158" s="1">
        <v>403.3</v>
      </c>
      <c r="I158" s="1">
        <v>254.4</v>
      </c>
      <c r="J158" s="1">
        <v>255.10000000000002</v>
      </c>
    </row>
    <row r="159" spans="1:10" hidden="1">
      <c r="A159" t="s">
        <v>32</v>
      </c>
      <c r="B159">
        <v>2017</v>
      </c>
      <c r="C159" t="s">
        <v>37</v>
      </c>
      <c r="D159" s="31" t="str">
        <f t="shared" si="2"/>
        <v>2017-May</v>
      </c>
      <c r="E159" s="1">
        <v>1709.6</v>
      </c>
      <c r="F159" s="1">
        <v>393.70000000000005</v>
      </c>
      <c r="G159" s="1">
        <v>384.9</v>
      </c>
      <c r="H159" s="1">
        <v>392.40000000000003</v>
      </c>
      <c r="I159" s="1">
        <v>234.39999999999998</v>
      </c>
      <c r="J159" s="1">
        <v>245.6</v>
      </c>
    </row>
    <row r="160" spans="1:10">
      <c r="A160" t="s">
        <v>33</v>
      </c>
      <c r="B160">
        <v>2017</v>
      </c>
      <c r="C160" t="s">
        <v>37</v>
      </c>
      <c r="D160" s="31" t="str">
        <f t="shared" si="2"/>
        <v>2017-May</v>
      </c>
      <c r="E160" s="1">
        <v>1719.6000000000001</v>
      </c>
      <c r="F160" s="1">
        <v>397.2</v>
      </c>
      <c r="G160" s="1">
        <v>406.8</v>
      </c>
      <c r="H160" s="1">
        <v>397.8</v>
      </c>
      <c r="I160" s="1">
        <v>246.10000000000002</v>
      </c>
      <c r="J160" s="1">
        <v>251.4</v>
      </c>
    </row>
    <row r="161" spans="1:10" hidden="1">
      <c r="A161" t="s">
        <v>30</v>
      </c>
      <c r="B161">
        <v>2017</v>
      </c>
      <c r="C161" t="s">
        <v>38</v>
      </c>
      <c r="D161" s="31" t="str">
        <f t="shared" si="2"/>
        <v>2017-June</v>
      </c>
      <c r="E161" s="1">
        <v>1738.8000000000002</v>
      </c>
      <c r="F161" s="1">
        <v>403.70000000000005</v>
      </c>
      <c r="G161" s="1">
        <v>423.09999999999997</v>
      </c>
      <c r="H161" s="1">
        <v>403.5</v>
      </c>
      <c r="I161" s="1">
        <v>254.20000000000002</v>
      </c>
      <c r="J161" s="1">
        <v>255.4</v>
      </c>
    </row>
    <row r="162" spans="1:10" hidden="1">
      <c r="A162" t="s">
        <v>32</v>
      </c>
      <c r="B162">
        <v>2017</v>
      </c>
      <c r="C162" t="s">
        <v>38</v>
      </c>
      <c r="D162" s="31" t="str">
        <f t="shared" si="2"/>
        <v>2017-June</v>
      </c>
      <c r="E162" s="1">
        <v>1731.0000000000002</v>
      </c>
      <c r="F162" s="1">
        <v>394.2</v>
      </c>
      <c r="G162" s="1">
        <v>384.9</v>
      </c>
      <c r="H162" s="1">
        <v>392.5</v>
      </c>
      <c r="I162" s="1">
        <v>232.9</v>
      </c>
      <c r="J162" s="1">
        <v>246.3</v>
      </c>
    </row>
    <row r="163" spans="1:10">
      <c r="A163" t="s">
        <v>33</v>
      </c>
      <c r="B163">
        <v>2017</v>
      </c>
      <c r="C163" t="s">
        <v>38</v>
      </c>
      <c r="D163" s="31" t="str">
        <f t="shared" si="2"/>
        <v>2017-June</v>
      </c>
      <c r="E163" s="1">
        <v>1734.7</v>
      </c>
      <c r="F163" s="1">
        <v>397.9</v>
      </c>
      <c r="G163" s="1">
        <v>407.7</v>
      </c>
      <c r="H163" s="1">
        <v>398</v>
      </c>
      <c r="I163" s="1">
        <v>245.3</v>
      </c>
      <c r="J163" s="1">
        <v>251.9</v>
      </c>
    </row>
    <row r="164" spans="1:10" hidden="1">
      <c r="A164" t="s">
        <v>30</v>
      </c>
      <c r="B164">
        <v>2017</v>
      </c>
      <c r="C164" t="s">
        <v>39</v>
      </c>
      <c r="D164" s="31" t="str">
        <f t="shared" si="2"/>
        <v>2017-July</v>
      </c>
      <c r="E164" s="1">
        <v>1772.9</v>
      </c>
      <c r="F164" s="1">
        <v>406.6</v>
      </c>
      <c r="G164" s="1">
        <v>425.9</v>
      </c>
      <c r="H164" s="1">
        <v>407.29999999999995</v>
      </c>
      <c r="I164" s="1">
        <v>254.4</v>
      </c>
      <c r="J164" s="1">
        <v>256.5</v>
      </c>
    </row>
    <row r="165" spans="1:10" hidden="1">
      <c r="A165" t="s">
        <v>32</v>
      </c>
      <c r="B165">
        <v>2017</v>
      </c>
      <c r="C165" t="s">
        <v>39</v>
      </c>
      <c r="D165" s="31" t="str">
        <f t="shared" si="2"/>
        <v>2017-July</v>
      </c>
      <c r="E165" s="1">
        <v>1768.1</v>
      </c>
      <c r="F165" s="1">
        <v>397</v>
      </c>
      <c r="G165" s="1">
        <v>385.70000000000005</v>
      </c>
      <c r="H165" s="1">
        <v>395.3</v>
      </c>
      <c r="I165" s="1">
        <v>232.9</v>
      </c>
      <c r="J165" s="1">
        <v>247.4</v>
      </c>
    </row>
    <row r="166" spans="1:10">
      <c r="A166" t="s">
        <v>33</v>
      </c>
      <c r="B166">
        <v>2017</v>
      </c>
      <c r="C166" t="s">
        <v>39</v>
      </c>
      <c r="D166" s="31" t="str">
        <f t="shared" si="2"/>
        <v>2017-July</v>
      </c>
      <c r="E166" s="1">
        <v>1769.3999999999999</v>
      </c>
      <c r="F166" s="1">
        <v>400.69999999999993</v>
      </c>
      <c r="G166" s="1">
        <v>409.7</v>
      </c>
      <c r="H166" s="1">
        <v>401.3</v>
      </c>
      <c r="I166" s="1">
        <v>245.4</v>
      </c>
      <c r="J166" s="1">
        <v>253</v>
      </c>
    </row>
    <row r="167" spans="1:10" hidden="1">
      <c r="A167" t="s">
        <v>30</v>
      </c>
      <c r="B167">
        <v>2017</v>
      </c>
      <c r="C167" t="s">
        <v>40</v>
      </c>
      <c r="D167" s="31" t="str">
        <f t="shared" si="2"/>
        <v>2017-August</v>
      </c>
      <c r="E167" s="1">
        <v>1792.4999999999998</v>
      </c>
      <c r="F167" s="1">
        <v>410.2</v>
      </c>
      <c r="G167" s="1">
        <v>429</v>
      </c>
      <c r="H167" s="1">
        <v>411.90000000000003</v>
      </c>
      <c r="I167" s="1">
        <v>256.7</v>
      </c>
      <c r="J167" s="1">
        <v>258.39999999999998</v>
      </c>
    </row>
    <row r="168" spans="1:10" hidden="1">
      <c r="A168" t="s">
        <v>32</v>
      </c>
      <c r="B168">
        <v>2017</v>
      </c>
      <c r="C168" t="s">
        <v>40</v>
      </c>
      <c r="D168" s="31" t="str">
        <f t="shared" si="2"/>
        <v>2017-August</v>
      </c>
      <c r="E168" s="1">
        <v>1772.9999999999998</v>
      </c>
      <c r="F168" s="1">
        <v>400</v>
      </c>
      <c r="G168" s="1">
        <v>388.4</v>
      </c>
      <c r="H168" s="1">
        <v>397.8</v>
      </c>
      <c r="I168" s="1">
        <v>233.5</v>
      </c>
      <c r="J168" s="1">
        <v>249</v>
      </c>
    </row>
    <row r="169" spans="1:10">
      <c r="A169" t="s">
        <v>33</v>
      </c>
      <c r="B169">
        <v>2017</v>
      </c>
      <c r="C169" t="s">
        <v>40</v>
      </c>
      <c r="D169" s="31" t="str">
        <f t="shared" si="2"/>
        <v>2017-August</v>
      </c>
      <c r="E169" s="1">
        <v>1783.8</v>
      </c>
      <c r="F169" s="1">
        <v>403.90000000000003</v>
      </c>
      <c r="G169" s="1">
        <v>412.6</v>
      </c>
      <c r="H169" s="1">
        <v>404.80000000000007</v>
      </c>
      <c r="I169" s="1">
        <v>247.10000000000002</v>
      </c>
      <c r="J169" s="1">
        <v>254.7</v>
      </c>
    </row>
    <row r="170" spans="1:10" hidden="1">
      <c r="A170" t="s">
        <v>30</v>
      </c>
      <c r="B170">
        <v>2017</v>
      </c>
      <c r="C170" t="s">
        <v>41</v>
      </c>
      <c r="D170" s="31" t="str">
        <f t="shared" si="2"/>
        <v>2017-September</v>
      </c>
      <c r="E170" s="1">
        <v>1784.3</v>
      </c>
      <c r="F170" s="1">
        <v>412.40000000000003</v>
      </c>
      <c r="G170" s="1">
        <v>430.99999999999994</v>
      </c>
      <c r="H170" s="1">
        <v>413.20000000000005</v>
      </c>
      <c r="I170" s="1">
        <v>258.60000000000002</v>
      </c>
      <c r="J170" s="1">
        <v>260.10000000000002</v>
      </c>
    </row>
    <row r="171" spans="1:10" hidden="1">
      <c r="A171" t="s">
        <v>32</v>
      </c>
      <c r="B171">
        <v>2017</v>
      </c>
      <c r="C171" t="s">
        <v>41</v>
      </c>
      <c r="D171" s="31" t="str">
        <f t="shared" si="2"/>
        <v>2017-September</v>
      </c>
      <c r="E171" s="1">
        <v>1749.7</v>
      </c>
      <c r="F171" s="1">
        <v>402.6</v>
      </c>
      <c r="G171" s="1">
        <v>389.9</v>
      </c>
      <c r="H171" s="1">
        <v>399.69999999999993</v>
      </c>
      <c r="I171" s="1">
        <v>236.3</v>
      </c>
      <c r="J171" s="1">
        <v>250.5</v>
      </c>
    </row>
    <row r="172" spans="1:10">
      <c r="A172" t="s">
        <v>33</v>
      </c>
      <c r="B172">
        <v>2017</v>
      </c>
      <c r="C172" t="s">
        <v>41</v>
      </c>
      <c r="D172" s="31" t="str">
        <f t="shared" si="2"/>
        <v>2017-September</v>
      </c>
      <c r="E172" s="1">
        <v>1769.9999999999998</v>
      </c>
      <c r="F172" s="1">
        <v>406.20000000000005</v>
      </c>
      <c r="G172" s="1">
        <v>414.5</v>
      </c>
      <c r="H172" s="1">
        <v>406.4</v>
      </c>
      <c r="I172" s="1">
        <v>249.3</v>
      </c>
      <c r="J172" s="1">
        <v>256.3</v>
      </c>
    </row>
    <row r="173" spans="1:10" hidden="1">
      <c r="A173" t="s">
        <v>30</v>
      </c>
      <c r="B173">
        <v>2017</v>
      </c>
      <c r="C173" t="s">
        <v>42</v>
      </c>
      <c r="D173" s="31" t="str">
        <f t="shared" si="2"/>
        <v>2017-October</v>
      </c>
      <c r="E173" s="1">
        <v>1790.8999999999999</v>
      </c>
      <c r="F173" s="1">
        <v>414.2</v>
      </c>
      <c r="G173" s="1">
        <v>433.99999999999994</v>
      </c>
      <c r="H173" s="1">
        <v>415.80000000000007</v>
      </c>
      <c r="I173" s="1">
        <v>259.10000000000002</v>
      </c>
      <c r="J173" s="1">
        <v>261.60000000000002</v>
      </c>
    </row>
    <row r="174" spans="1:10" hidden="1">
      <c r="A174" t="s">
        <v>32</v>
      </c>
      <c r="B174">
        <v>2017</v>
      </c>
      <c r="C174" t="s">
        <v>42</v>
      </c>
      <c r="D174" s="31" t="str">
        <f t="shared" si="2"/>
        <v>2017-October</v>
      </c>
      <c r="E174" s="1">
        <v>1765.6999999999998</v>
      </c>
      <c r="F174" s="1">
        <v>403.9</v>
      </c>
      <c r="G174" s="1">
        <v>391.5</v>
      </c>
      <c r="H174" s="1">
        <v>401.90000000000003</v>
      </c>
      <c r="I174" s="1">
        <v>237.6</v>
      </c>
      <c r="J174" s="1">
        <v>251.2</v>
      </c>
    </row>
    <row r="175" spans="1:10">
      <c r="A175" t="s">
        <v>33</v>
      </c>
      <c r="B175">
        <v>2017</v>
      </c>
      <c r="C175" t="s">
        <v>42</v>
      </c>
      <c r="D175" s="31" t="str">
        <f t="shared" si="2"/>
        <v>2017-October</v>
      </c>
      <c r="E175" s="1">
        <v>1779.6999999999998</v>
      </c>
      <c r="F175" s="1">
        <v>407.7</v>
      </c>
      <c r="G175" s="1">
        <v>416.90000000000003</v>
      </c>
      <c r="H175" s="1">
        <v>408.79999999999995</v>
      </c>
      <c r="I175" s="1">
        <v>250</v>
      </c>
      <c r="J175" s="1">
        <v>257.5</v>
      </c>
    </row>
    <row r="176" spans="1:10" hidden="1">
      <c r="A176" t="s">
        <v>30</v>
      </c>
      <c r="B176">
        <v>2017</v>
      </c>
      <c r="C176" t="s">
        <v>44</v>
      </c>
      <c r="D176" s="31" t="str">
        <f t="shared" si="2"/>
        <v>2017-November</v>
      </c>
      <c r="E176" s="1">
        <v>1817.7000000000003</v>
      </c>
      <c r="F176" s="1">
        <v>417.49999999999994</v>
      </c>
      <c r="G176" s="1">
        <v>437</v>
      </c>
      <c r="H176" s="1">
        <v>419.5</v>
      </c>
      <c r="I176" s="1">
        <v>262.7</v>
      </c>
      <c r="J176" s="1">
        <v>263.89999999999998</v>
      </c>
    </row>
    <row r="177" spans="1:10" hidden="1">
      <c r="A177" t="s">
        <v>32</v>
      </c>
      <c r="B177">
        <v>2017</v>
      </c>
      <c r="C177" t="s">
        <v>44</v>
      </c>
      <c r="D177" s="31" t="str">
        <f t="shared" si="2"/>
        <v>2017-November</v>
      </c>
      <c r="E177" s="1">
        <v>1796.7</v>
      </c>
      <c r="F177" s="1">
        <v>406.19999999999993</v>
      </c>
      <c r="G177" s="1">
        <v>393.9</v>
      </c>
      <c r="H177" s="1">
        <v>404</v>
      </c>
      <c r="I177" s="1">
        <v>241</v>
      </c>
      <c r="J177" s="1">
        <v>252.3</v>
      </c>
    </row>
    <row r="178" spans="1:10">
      <c r="A178" t="s">
        <v>33</v>
      </c>
      <c r="B178">
        <v>2017</v>
      </c>
      <c r="C178" t="s">
        <v>44</v>
      </c>
      <c r="D178" s="31" t="str">
        <f t="shared" si="2"/>
        <v>2017-November</v>
      </c>
      <c r="E178" s="1">
        <v>1808.2</v>
      </c>
      <c r="F178" s="1">
        <v>410.5</v>
      </c>
      <c r="G178" s="1">
        <v>419.6</v>
      </c>
      <c r="H178" s="1">
        <v>411.6</v>
      </c>
      <c r="I178" s="1">
        <v>253.60000000000002</v>
      </c>
      <c r="J178" s="1">
        <v>259.39999999999998</v>
      </c>
    </row>
    <row r="179" spans="1:10" hidden="1">
      <c r="A179" t="s">
        <v>30</v>
      </c>
      <c r="B179">
        <v>2017</v>
      </c>
      <c r="C179" t="s">
        <v>45</v>
      </c>
      <c r="D179" s="31" t="str">
        <f t="shared" si="2"/>
        <v>2017-December</v>
      </c>
      <c r="E179" s="1">
        <v>1813.6000000000001</v>
      </c>
      <c r="F179" s="1">
        <v>418.5</v>
      </c>
      <c r="G179" s="1">
        <v>437.09999999999997</v>
      </c>
      <c r="H179" s="1">
        <v>419.70000000000005</v>
      </c>
      <c r="I179" s="1">
        <v>264.60000000000002</v>
      </c>
      <c r="J179" s="1">
        <v>263.89999999999998</v>
      </c>
    </row>
    <row r="180" spans="1:10" hidden="1">
      <c r="A180" t="s">
        <v>32</v>
      </c>
      <c r="B180">
        <v>2017</v>
      </c>
      <c r="C180" t="s">
        <v>45</v>
      </c>
      <c r="D180" s="31" t="str">
        <f t="shared" si="2"/>
        <v>2017-December</v>
      </c>
      <c r="E180" s="1">
        <v>1767.5</v>
      </c>
      <c r="F180" s="1">
        <v>407.70000000000005</v>
      </c>
      <c r="G180" s="1">
        <v>395.2</v>
      </c>
      <c r="H180" s="1">
        <v>405.09999999999997</v>
      </c>
      <c r="I180" s="1">
        <v>242.1</v>
      </c>
      <c r="J180" s="1">
        <v>252.79999999999998</v>
      </c>
    </row>
    <row r="181" spans="1:10">
      <c r="A181" t="s">
        <v>33</v>
      </c>
      <c r="B181">
        <v>2017</v>
      </c>
      <c r="C181" t="s">
        <v>45</v>
      </c>
      <c r="D181" s="31" t="str">
        <f t="shared" si="2"/>
        <v>2017-December</v>
      </c>
      <c r="E181" s="1">
        <v>1794.9999999999998</v>
      </c>
      <c r="F181" s="1">
        <v>411.79999999999995</v>
      </c>
      <c r="G181" s="1">
        <v>420.2</v>
      </c>
      <c r="H181" s="1">
        <v>412.29999999999995</v>
      </c>
      <c r="I181" s="1">
        <v>255.1</v>
      </c>
      <c r="J181" s="1">
        <v>259.60000000000002</v>
      </c>
    </row>
    <row r="182" spans="1:10" hidden="1">
      <c r="A182" t="s">
        <v>30</v>
      </c>
      <c r="B182">
        <v>2018</v>
      </c>
      <c r="C182" t="s">
        <v>31</v>
      </c>
      <c r="D182" s="31" t="str">
        <f t="shared" si="2"/>
        <v>2018-January</v>
      </c>
      <c r="E182" s="1">
        <v>1800.7</v>
      </c>
      <c r="F182" s="1">
        <v>420.2</v>
      </c>
      <c r="G182" s="1">
        <v>438.1</v>
      </c>
      <c r="H182" s="1">
        <v>421.80000000000007</v>
      </c>
      <c r="I182" s="1">
        <v>265</v>
      </c>
      <c r="J182" s="1">
        <v>264.60000000000002</v>
      </c>
    </row>
    <row r="183" spans="1:10" hidden="1">
      <c r="A183" t="s">
        <v>32</v>
      </c>
      <c r="B183">
        <v>2018</v>
      </c>
      <c r="C183" t="s">
        <v>31</v>
      </c>
      <c r="D183" s="31" t="str">
        <f t="shared" si="2"/>
        <v>2018-January</v>
      </c>
      <c r="E183" s="1">
        <v>1748.3000000000002</v>
      </c>
      <c r="F183" s="1">
        <v>409.7</v>
      </c>
      <c r="G183" s="1">
        <v>396.29999999999995</v>
      </c>
      <c r="H183" s="1">
        <v>407</v>
      </c>
      <c r="I183" s="1">
        <v>243.6</v>
      </c>
      <c r="J183" s="1">
        <v>254.5</v>
      </c>
    </row>
    <row r="184" spans="1:10">
      <c r="A184" t="s">
        <v>33</v>
      </c>
      <c r="B184">
        <v>2018</v>
      </c>
      <c r="C184" t="s">
        <v>31</v>
      </c>
      <c r="D184" s="31" t="str">
        <f t="shared" si="2"/>
        <v>2018-January</v>
      </c>
      <c r="E184" s="1">
        <v>1779.9</v>
      </c>
      <c r="F184" s="1">
        <v>413.5</v>
      </c>
      <c r="G184" s="1">
        <v>421.3</v>
      </c>
      <c r="H184" s="1">
        <v>414.3</v>
      </c>
      <c r="I184" s="1">
        <v>255.89999999999998</v>
      </c>
      <c r="J184" s="1">
        <v>260.60000000000002</v>
      </c>
    </row>
    <row r="185" spans="1:10" hidden="1">
      <c r="A185" t="s">
        <v>30</v>
      </c>
      <c r="B185">
        <v>2018</v>
      </c>
      <c r="C185" t="s">
        <v>34</v>
      </c>
      <c r="D185" s="31" t="str">
        <f t="shared" si="2"/>
        <v>2018-February</v>
      </c>
      <c r="E185" s="1">
        <v>1781.5</v>
      </c>
      <c r="F185" s="1">
        <v>420.1</v>
      </c>
      <c r="G185" s="1">
        <v>438.90000000000003</v>
      </c>
      <c r="H185" s="1">
        <v>422.70000000000005</v>
      </c>
      <c r="I185" s="1">
        <v>265.7</v>
      </c>
      <c r="J185" s="1">
        <v>265</v>
      </c>
    </row>
    <row r="186" spans="1:10" hidden="1">
      <c r="A186" t="s">
        <v>32</v>
      </c>
      <c r="B186">
        <v>2018</v>
      </c>
      <c r="C186" t="s">
        <v>34</v>
      </c>
      <c r="D186" s="31" t="str">
        <f t="shared" si="2"/>
        <v>2018-February</v>
      </c>
      <c r="E186" s="1">
        <v>1727.9</v>
      </c>
      <c r="F186" s="1">
        <v>412.3</v>
      </c>
      <c r="G186" s="1">
        <v>397.09999999999997</v>
      </c>
      <c r="H186" s="1">
        <v>408.40000000000003</v>
      </c>
      <c r="I186" s="1">
        <v>244.7</v>
      </c>
      <c r="J186" s="1">
        <v>256</v>
      </c>
    </row>
    <row r="187" spans="1:10">
      <c r="A187" t="s">
        <v>33</v>
      </c>
      <c r="B187">
        <v>2018</v>
      </c>
      <c r="C187" t="s">
        <v>34</v>
      </c>
      <c r="D187" s="31" t="str">
        <f t="shared" si="2"/>
        <v>2018-February</v>
      </c>
      <c r="E187" s="1">
        <v>1760.3999999999996</v>
      </c>
      <c r="F187" s="1">
        <v>414.4</v>
      </c>
      <c r="G187" s="1">
        <v>422</v>
      </c>
      <c r="H187" s="1">
        <v>415.5</v>
      </c>
      <c r="I187" s="1">
        <v>256.89999999999998</v>
      </c>
      <c r="J187" s="1">
        <v>261.5</v>
      </c>
    </row>
    <row r="188" spans="1:10" hidden="1">
      <c r="A188" t="s">
        <v>30</v>
      </c>
      <c r="B188">
        <v>2018</v>
      </c>
      <c r="C188" t="s">
        <v>35</v>
      </c>
      <c r="D188" s="31" t="str">
        <f t="shared" si="2"/>
        <v>2018-March</v>
      </c>
      <c r="E188" s="1">
        <v>1781.9999999999998</v>
      </c>
      <c r="F188" s="1">
        <v>423.5</v>
      </c>
      <c r="G188" s="1">
        <v>440.5</v>
      </c>
      <c r="H188" s="1">
        <v>424.59999999999997</v>
      </c>
      <c r="I188" s="1">
        <v>267.2</v>
      </c>
      <c r="J188" s="1">
        <v>266</v>
      </c>
    </row>
    <row r="189" spans="1:10" hidden="1">
      <c r="A189" t="s">
        <v>32</v>
      </c>
      <c r="B189">
        <v>2018</v>
      </c>
      <c r="C189" t="s">
        <v>35</v>
      </c>
      <c r="D189" s="31" t="str">
        <f t="shared" si="2"/>
        <v>2018-March</v>
      </c>
      <c r="E189" s="1">
        <v>1715.5</v>
      </c>
      <c r="F189" s="1">
        <v>413.6</v>
      </c>
      <c r="G189" s="1">
        <v>398.59999999999997</v>
      </c>
      <c r="H189" s="1">
        <v>410.6</v>
      </c>
      <c r="I189" s="1">
        <v>244.2</v>
      </c>
      <c r="J189" s="1">
        <v>257.2</v>
      </c>
    </row>
    <row r="190" spans="1:10">
      <c r="A190" t="s">
        <v>33</v>
      </c>
      <c r="B190">
        <v>2018</v>
      </c>
      <c r="C190" t="s">
        <v>35</v>
      </c>
      <c r="D190" s="31" t="str">
        <f t="shared" si="2"/>
        <v>2018-March</v>
      </c>
      <c r="E190" s="1">
        <v>1756</v>
      </c>
      <c r="F190" s="1">
        <v>417.00000000000006</v>
      </c>
      <c r="G190" s="1">
        <v>423.6</v>
      </c>
      <c r="H190" s="1">
        <v>417.40000000000003</v>
      </c>
      <c r="I190" s="1">
        <v>257.5</v>
      </c>
      <c r="J190" s="1">
        <v>262.5</v>
      </c>
    </row>
    <row r="191" spans="1:10" hidden="1">
      <c r="A191" t="s">
        <v>30</v>
      </c>
      <c r="B191">
        <v>2018</v>
      </c>
      <c r="C191" t="s">
        <v>36</v>
      </c>
      <c r="D191" s="31" t="str">
        <f t="shared" si="2"/>
        <v>2018-April</v>
      </c>
      <c r="E191" s="1">
        <v>1780</v>
      </c>
      <c r="F191" s="1">
        <v>426.3</v>
      </c>
      <c r="G191" s="1">
        <v>442.5</v>
      </c>
      <c r="H191" s="1">
        <v>427.5</v>
      </c>
      <c r="I191" s="1">
        <v>269.10000000000002</v>
      </c>
      <c r="J191" s="1">
        <v>268</v>
      </c>
    </row>
    <row r="192" spans="1:10" hidden="1">
      <c r="A192" t="s">
        <v>32</v>
      </c>
      <c r="B192">
        <v>2018</v>
      </c>
      <c r="C192" t="s">
        <v>36</v>
      </c>
      <c r="D192" s="31" t="str">
        <f t="shared" si="2"/>
        <v>2018-April</v>
      </c>
      <c r="E192" s="1">
        <v>1720.0000000000002</v>
      </c>
      <c r="F192" s="1">
        <v>414.99999999999994</v>
      </c>
      <c r="G192" s="1">
        <v>401.40000000000003</v>
      </c>
      <c r="H192" s="1">
        <v>414.40000000000003</v>
      </c>
      <c r="I192" s="1">
        <v>243.5</v>
      </c>
      <c r="J192" s="1">
        <v>258.89999999999998</v>
      </c>
    </row>
    <row r="193" spans="1:10">
      <c r="A193" t="s">
        <v>33</v>
      </c>
      <c r="B193">
        <v>2018</v>
      </c>
      <c r="C193" t="s">
        <v>36</v>
      </c>
      <c r="D193" s="31" t="str">
        <f t="shared" si="2"/>
        <v>2018-April</v>
      </c>
      <c r="E193" s="1">
        <v>1757.1000000000001</v>
      </c>
      <c r="F193" s="1">
        <v>419.50000000000006</v>
      </c>
      <c r="G193" s="1">
        <v>426</v>
      </c>
      <c r="H193" s="1">
        <v>420.9</v>
      </c>
      <c r="I193" s="1">
        <v>258.39999999999998</v>
      </c>
      <c r="J193" s="1">
        <v>264.39999999999998</v>
      </c>
    </row>
    <row r="194" spans="1:10" hidden="1">
      <c r="A194" t="s">
        <v>30</v>
      </c>
      <c r="B194">
        <v>2018</v>
      </c>
      <c r="C194" t="s">
        <v>37</v>
      </c>
      <c r="D194" s="31" t="str">
        <f t="shared" si="2"/>
        <v>2018-May</v>
      </c>
      <c r="E194" s="1">
        <v>1782.4</v>
      </c>
      <c r="F194" s="1">
        <v>428.9</v>
      </c>
      <c r="G194" s="1">
        <v>444.7</v>
      </c>
      <c r="H194" s="1">
        <v>429.4</v>
      </c>
      <c r="I194" s="1">
        <v>270.70000000000005</v>
      </c>
      <c r="J194" s="1">
        <v>269.60000000000002</v>
      </c>
    </row>
    <row r="195" spans="1:10" hidden="1">
      <c r="A195" t="s">
        <v>32</v>
      </c>
      <c r="B195">
        <v>2018</v>
      </c>
      <c r="C195" t="s">
        <v>37</v>
      </c>
      <c r="D195" s="31" t="str">
        <f t="shared" ref="D195:D258" si="3">CONCATENATE(B195,"-",C195)</f>
        <v>2018-May</v>
      </c>
      <c r="E195" s="1">
        <v>1722.8999999999999</v>
      </c>
      <c r="F195" s="1">
        <v>417.20000000000005</v>
      </c>
      <c r="G195" s="1">
        <v>403.5</v>
      </c>
      <c r="H195" s="1">
        <v>416.1</v>
      </c>
      <c r="I195" s="1">
        <v>244.5</v>
      </c>
      <c r="J195" s="1">
        <v>260.10000000000002</v>
      </c>
    </row>
    <row r="196" spans="1:10">
      <c r="A196" t="s">
        <v>33</v>
      </c>
      <c r="B196">
        <v>2018</v>
      </c>
      <c r="C196" t="s">
        <v>37</v>
      </c>
      <c r="D196" s="31" t="str">
        <f t="shared" si="3"/>
        <v>2018-May</v>
      </c>
      <c r="E196" s="1">
        <v>1759.8</v>
      </c>
      <c r="F196" s="1">
        <v>421.80000000000007</v>
      </c>
      <c r="G196" s="1">
        <v>428.09999999999997</v>
      </c>
      <c r="H196" s="1">
        <v>422.70000000000005</v>
      </c>
      <c r="I196" s="1">
        <v>259.8</v>
      </c>
      <c r="J196" s="1">
        <v>265.89999999999998</v>
      </c>
    </row>
    <row r="197" spans="1:10" hidden="1">
      <c r="A197" t="s">
        <v>30</v>
      </c>
      <c r="B197">
        <v>2018</v>
      </c>
      <c r="C197" t="s">
        <v>38</v>
      </c>
      <c r="D197" s="31" t="str">
        <f t="shared" si="3"/>
        <v>2018-June</v>
      </c>
      <c r="E197" s="1">
        <v>1790.2999999999997</v>
      </c>
      <c r="F197" s="1">
        <v>430.70000000000005</v>
      </c>
      <c r="G197" s="1">
        <v>446.3</v>
      </c>
      <c r="H197" s="1">
        <v>429.79999999999995</v>
      </c>
      <c r="I197" s="1">
        <v>272.5</v>
      </c>
      <c r="J197" s="1">
        <v>269.8</v>
      </c>
    </row>
    <row r="198" spans="1:10" hidden="1">
      <c r="A198" t="s">
        <v>32</v>
      </c>
      <c r="B198">
        <v>2018</v>
      </c>
      <c r="C198" t="s">
        <v>38</v>
      </c>
      <c r="D198" s="31" t="str">
        <f t="shared" si="3"/>
        <v>2018-June</v>
      </c>
      <c r="E198" s="1">
        <v>1747.3000000000002</v>
      </c>
      <c r="F198" s="1">
        <v>419</v>
      </c>
      <c r="G198" s="1">
        <v>405</v>
      </c>
      <c r="H198" s="1">
        <v>416.8</v>
      </c>
      <c r="I198" s="1">
        <v>246.9</v>
      </c>
      <c r="J198" s="1">
        <v>260.79999999999995</v>
      </c>
    </row>
    <row r="199" spans="1:10">
      <c r="A199" t="s">
        <v>33</v>
      </c>
      <c r="B199">
        <v>2018</v>
      </c>
      <c r="C199" t="s">
        <v>38</v>
      </c>
      <c r="D199" s="31" t="str">
        <f t="shared" si="3"/>
        <v>2018-June</v>
      </c>
      <c r="E199" s="1">
        <v>1774.1000000000001</v>
      </c>
      <c r="F199" s="1">
        <v>423.5</v>
      </c>
      <c r="G199" s="1">
        <v>429.7</v>
      </c>
      <c r="H199" s="1">
        <v>423.2</v>
      </c>
      <c r="I199" s="1">
        <v>261.8</v>
      </c>
      <c r="J199" s="1">
        <v>266.29999999999995</v>
      </c>
    </row>
    <row r="200" spans="1:10" hidden="1">
      <c r="A200" t="s">
        <v>30</v>
      </c>
      <c r="B200">
        <v>2018</v>
      </c>
      <c r="C200" t="s">
        <v>39</v>
      </c>
      <c r="D200" s="31" t="str">
        <f t="shared" si="3"/>
        <v>2018-July</v>
      </c>
      <c r="E200" s="1">
        <v>1810.5000000000002</v>
      </c>
      <c r="F200" s="1">
        <v>430.5</v>
      </c>
      <c r="G200" s="1">
        <v>447.20000000000005</v>
      </c>
      <c r="H200" s="1">
        <v>432.5</v>
      </c>
      <c r="I200" s="1">
        <v>274.3</v>
      </c>
      <c r="J200" s="1">
        <v>270.39999999999998</v>
      </c>
    </row>
    <row r="201" spans="1:10" hidden="1">
      <c r="A201" t="s">
        <v>32</v>
      </c>
      <c r="B201">
        <v>2018</v>
      </c>
      <c r="C201" t="s">
        <v>39</v>
      </c>
      <c r="D201" s="31" t="str">
        <f t="shared" si="3"/>
        <v>2018-July</v>
      </c>
      <c r="E201" s="1">
        <v>1771.1</v>
      </c>
      <c r="F201" s="1">
        <v>420.59999999999997</v>
      </c>
      <c r="G201" s="1">
        <v>406.4</v>
      </c>
      <c r="H201" s="1">
        <v>421.2</v>
      </c>
      <c r="I201" s="1">
        <v>248.2</v>
      </c>
      <c r="J201" s="1">
        <v>261.79999999999995</v>
      </c>
    </row>
    <row r="202" spans="1:10">
      <c r="A202" t="s">
        <v>33</v>
      </c>
      <c r="B202">
        <v>2018</v>
      </c>
      <c r="C202" t="s">
        <v>39</v>
      </c>
      <c r="D202" s="31" t="str">
        <f t="shared" si="3"/>
        <v>2018-July</v>
      </c>
      <c r="E202" s="1">
        <v>1795.3</v>
      </c>
      <c r="F202" s="1">
        <v>423.8</v>
      </c>
      <c r="G202" s="1">
        <v>430.80000000000007</v>
      </c>
      <c r="H202" s="1">
        <v>426.9</v>
      </c>
      <c r="I202" s="1">
        <v>263.29999999999995</v>
      </c>
      <c r="J202" s="1">
        <v>267.10000000000002</v>
      </c>
    </row>
    <row r="203" spans="1:10" hidden="1">
      <c r="A203" t="s">
        <v>30</v>
      </c>
      <c r="B203">
        <v>2018</v>
      </c>
      <c r="C203" t="s">
        <v>40</v>
      </c>
      <c r="D203" s="31" t="str">
        <f t="shared" si="3"/>
        <v>2018-August</v>
      </c>
      <c r="E203" s="1">
        <v>1818.8</v>
      </c>
      <c r="F203" s="1">
        <v>431.6</v>
      </c>
      <c r="G203" s="1">
        <v>449.2</v>
      </c>
      <c r="H203" s="1">
        <v>435.29999999999995</v>
      </c>
      <c r="I203" s="1">
        <v>276</v>
      </c>
      <c r="J203" s="1">
        <v>270.70000000000005</v>
      </c>
    </row>
    <row r="204" spans="1:10" hidden="1">
      <c r="A204" t="s">
        <v>32</v>
      </c>
      <c r="B204">
        <v>2018</v>
      </c>
      <c r="C204" t="s">
        <v>40</v>
      </c>
      <c r="D204" s="31" t="str">
        <f t="shared" si="3"/>
        <v>2018-August</v>
      </c>
      <c r="E204" s="1">
        <v>1767.6</v>
      </c>
      <c r="F204" s="1">
        <v>422.9</v>
      </c>
      <c r="G204" s="1">
        <v>407.3</v>
      </c>
      <c r="H204" s="1">
        <v>424.3</v>
      </c>
      <c r="I204" s="1">
        <v>250.5</v>
      </c>
      <c r="J204" s="1">
        <v>263.20000000000005</v>
      </c>
    </row>
    <row r="205" spans="1:10">
      <c r="A205" t="s">
        <v>33</v>
      </c>
      <c r="B205">
        <v>2018</v>
      </c>
      <c r="C205" t="s">
        <v>40</v>
      </c>
      <c r="D205" s="31" t="str">
        <f t="shared" si="3"/>
        <v>2018-August</v>
      </c>
      <c r="E205" s="1">
        <v>1798.7000000000003</v>
      </c>
      <c r="F205" s="1">
        <v>425.4</v>
      </c>
      <c r="G205" s="1">
        <v>432.20000000000005</v>
      </c>
      <c r="H205" s="1">
        <v>430</v>
      </c>
      <c r="I205" s="1">
        <v>265.2</v>
      </c>
      <c r="J205" s="1">
        <v>267.79999999999995</v>
      </c>
    </row>
    <row r="206" spans="1:10" hidden="1">
      <c r="A206" t="s">
        <v>30</v>
      </c>
      <c r="B206">
        <v>2018</v>
      </c>
      <c r="C206" t="s">
        <v>41</v>
      </c>
      <c r="D206" s="31" t="str">
        <f t="shared" si="3"/>
        <v>2018-September</v>
      </c>
      <c r="E206" s="1">
        <v>1799.8000000000002</v>
      </c>
      <c r="F206" s="1">
        <v>435.1</v>
      </c>
      <c r="G206" s="1">
        <v>449.5</v>
      </c>
      <c r="H206" s="1">
        <v>436.9</v>
      </c>
      <c r="I206" s="1">
        <v>278.89999999999998</v>
      </c>
      <c r="J206" s="1">
        <v>272</v>
      </c>
    </row>
    <row r="207" spans="1:10" hidden="1">
      <c r="A207" t="s">
        <v>32</v>
      </c>
      <c r="B207">
        <v>2018</v>
      </c>
      <c r="C207" t="s">
        <v>41</v>
      </c>
      <c r="D207" s="31" t="str">
        <f t="shared" si="3"/>
        <v>2018-September</v>
      </c>
      <c r="E207" s="1">
        <v>1748.4</v>
      </c>
      <c r="F207" s="1">
        <v>425.4</v>
      </c>
      <c r="G207" s="1">
        <v>409.20000000000005</v>
      </c>
      <c r="H207" s="1">
        <v>425.40000000000003</v>
      </c>
      <c r="I207" s="1">
        <v>253.7</v>
      </c>
      <c r="J207" s="1">
        <v>265</v>
      </c>
    </row>
    <row r="208" spans="1:10">
      <c r="A208" t="s">
        <v>33</v>
      </c>
      <c r="B208">
        <v>2018</v>
      </c>
      <c r="C208" t="s">
        <v>41</v>
      </c>
      <c r="D208" s="31" t="str">
        <f t="shared" si="3"/>
        <v>2018-September</v>
      </c>
      <c r="E208" s="1">
        <v>1779.5</v>
      </c>
      <c r="F208" s="1">
        <v>428.4</v>
      </c>
      <c r="G208" s="1">
        <v>433.29999999999995</v>
      </c>
      <c r="H208" s="1">
        <v>431.2</v>
      </c>
      <c r="I208" s="1">
        <v>268.3</v>
      </c>
      <c r="J208" s="1">
        <v>269.3</v>
      </c>
    </row>
    <row r="209" spans="1:10" hidden="1">
      <c r="A209" t="s">
        <v>30</v>
      </c>
      <c r="B209">
        <v>2018</v>
      </c>
      <c r="C209" t="s">
        <v>42</v>
      </c>
      <c r="D209" s="31" t="str">
        <f t="shared" si="3"/>
        <v>2018-October</v>
      </c>
      <c r="E209" s="1">
        <v>1782.2</v>
      </c>
      <c r="F209" s="1">
        <v>439.5</v>
      </c>
      <c r="G209" s="1">
        <v>445</v>
      </c>
      <c r="H209" s="1">
        <v>442.1</v>
      </c>
      <c r="I209" s="1">
        <v>280.5</v>
      </c>
      <c r="J209" s="1">
        <v>279.20000000000005</v>
      </c>
    </row>
    <row r="210" spans="1:10" hidden="1">
      <c r="A210" t="s">
        <v>32</v>
      </c>
      <c r="B210">
        <v>2018</v>
      </c>
      <c r="C210" t="s">
        <v>42</v>
      </c>
      <c r="D210" s="31" t="str">
        <f t="shared" si="3"/>
        <v>2018-October</v>
      </c>
      <c r="E210" s="1">
        <v>1754.1</v>
      </c>
      <c r="F210" s="1">
        <v>427.2</v>
      </c>
      <c r="G210" s="1">
        <v>411</v>
      </c>
      <c r="H210" s="1">
        <v>426.9</v>
      </c>
      <c r="I210" s="1">
        <v>256.7</v>
      </c>
      <c r="J210" s="1">
        <v>266.60000000000002</v>
      </c>
    </row>
    <row r="211" spans="1:10">
      <c r="A211" t="s">
        <v>33</v>
      </c>
      <c r="B211">
        <v>2018</v>
      </c>
      <c r="C211" t="s">
        <v>42</v>
      </c>
      <c r="D211" s="31" t="str">
        <f t="shared" si="3"/>
        <v>2018-October</v>
      </c>
      <c r="E211" s="1">
        <v>1776.2</v>
      </c>
      <c r="F211" s="1">
        <v>435.40000000000003</v>
      </c>
      <c r="G211" s="1">
        <v>434</v>
      </c>
      <c r="H211" s="1">
        <v>436.90000000000003</v>
      </c>
      <c r="I211" s="1">
        <v>270.8</v>
      </c>
      <c r="J211" s="1">
        <v>274.10000000000002</v>
      </c>
    </row>
    <row r="212" spans="1:10" hidden="1">
      <c r="A212" t="s">
        <v>30</v>
      </c>
      <c r="B212">
        <v>2018</v>
      </c>
      <c r="C212" t="s">
        <v>44</v>
      </c>
      <c r="D212" s="31" t="str">
        <f t="shared" si="3"/>
        <v>2018-November</v>
      </c>
      <c r="E212" s="1">
        <v>1787.4999999999995</v>
      </c>
      <c r="F212" s="1">
        <v>445.1</v>
      </c>
      <c r="G212" s="1">
        <v>448</v>
      </c>
      <c r="H212" s="1">
        <v>445.09999999999997</v>
      </c>
      <c r="I212" s="1">
        <v>280.60000000000002</v>
      </c>
      <c r="J212" s="1">
        <v>278.5</v>
      </c>
    </row>
    <row r="213" spans="1:10" hidden="1">
      <c r="A213" t="s">
        <v>32</v>
      </c>
      <c r="B213">
        <v>2018</v>
      </c>
      <c r="C213" t="s">
        <v>44</v>
      </c>
      <c r="D213" s="31" t="str">
        <f t="shared" si="3"/>
        <v>2018-November</v>
      </c>
      <c r="E213" s="1">
        <v>1757.4999999999998</v>
      </c>
      <c r="F213" s="1">
        <v>427.90000000000003</v>
      </c>
      <c r="G213" s="1">
        <v>413.1</v>
      </c>
      <c r="H213" s="1">
        <v>428.80000000000007</v>
      </c>
      <c r="I213" s="1">
        <v>257.89999999999998</v>
      </c>
      <c r="J213" s="1">
        <v>267.3</v>
      </c>
    </row>
    <row r="214" spans="1:10">
      <c r="A214" t="s">
        <v>33</v>
      </c>
      <c r="B214">
        <v>2018</v>
      </c>
      <c r="C214" t="s">
        <v>44</v>
      </c>
      <c r="D214" s="31" t="str">
        <f t="shared" si="3"/>
        <v>2018-November</v>
      </c>
      <c r="E214" s="1">
        <v>1775.7000000000003</v>
      </c>
      <c r="F214" s="1">
        <v>435.40000000000003</v>
      </c>
      <c r="G214" s="1">
        <v>433.8</v>
      </c>
      <c r="H214" s="1">
        <v>436.90000000000003</v>
      </c>
      <c r="I214" s="1">
        <v>270.60000000000002</v>
      </c>
      <c r="J214" s="1">
        <v>274.10000000000002</v>
      </c>
    </row>
    <row r="215" spans="1:10" hidden="1">
      <c r="A215" t="s">
        <v>30</v>
      </c>
      <c r="B215">
        <v>2018</v>
      </c>
      <c r="C215" t="s">
        <v>45</v>
      </c>
      <c r="D215" s="31" t="str">
        <f t="shared" si="3"/>
        <v>2018-December</v>
      </c>
      <c r="E215" s="1">
        <v>1773.1000000000001</v>
      </c>
      <c r="F215" s="1">
        <v>447.30000000000007</v>
      </c>
      <c r="G215" s="1">
        <v>448.3</v>
      </c>
      <c r="H215" s="1">
        <v>451.1</v>
      </c>
      <c r="I215" s="1">
        <v>277.89999999999998</v>
      </c>
      <c r="J215" s="1">
        <v>282.79999999999995</v>
      </c>
    </row>
    <row r="216" spans="1:10" hidden="1">
      <c r="A216" t="s">
        <v>32</v>
      </c>
      <c r="B216">
        <v>2018</v>
      </c>
      <c r="C216" t="s">
        <v>45</v>
      </c>
      <c r="D216" s="31" t="str">
        <f t="shared" si="3"/>
        <v>2018-December</v>
      </c>
      <c r="E216" s="1">
        <v>1746.6</v>
      </c>
      <c r="F216" s="1">
        <v>427.99999999999994</v>
      </c>
      <c r="G216" s="1">
        <v>413.8</v>
      </c>
      <c r="H216" s="1">
        <v>429.2</v>
      </c>
      <c r="I216" s="1">
        <v>251.2</v>
      </c>
      <c r="J216" s="1">
        <v>268.10000000000002</v>
      </c>
    </row>
    <row r="217" spans="1:10">
      <c r="A217" t="s">
        <v>33</v>
      </c>
      <c r="B217">
        <v>2018</v>
      </c>
      <c r="C217" t="s">
        <v>45</v>
      </c>
      <c r="D217" s="31" t="str">
        <f t="shared" si="3"/>
        <v>2018-December</v>
      </c>
      <c r="E217" s="1">
        <v>1762.7999999999997</v>
      </c>
      <c r="F217" s="1">
        <v>436.6</v>
      </c>
      <c r="G217" s="1">
        <v>434.3</v>
      </c>
      <c r="H217" s="1">
        <v>439.79999999999995</v>
      </c>
      <c r="I217" s="1">
        <v>266.29999999999995</v>
      </c>
      <c r="J217" s="1">
        <v>277.10000000000002</v>
      </c>
    </row>
    <row r="218" spans="1:10" hidden="1">
      <c r="A218" t="s">
        <v>30</v>
      </c>
      <c r="B218">
        <v>2019</v>
      </c>
      <c r="C218" t="s">
        <v>31</v>
      </c>
      <c r="D218" s="31" t="str">
        <f t="shared" si="3"/>
        <v>2019-January</v>
      </c>
      <c r="E218" s="1">
        <v>1759.6000000000001</v>
      </c>
      <c r="F218" s="1">
        <v>447.3</v>
      </c>
      <c r="G218" s="1">
        <v>445.6</v>
      </c>
      <c r="H218" s="1">
        <v>452.99999999999994</v>
      </c>
      <c r="I218" s="1">
        <v>274.79999999999995</v>
      </c>
      <c r="J218" s="1">
        <v>283.10000000000002</v>
      </c>
    </row>
    <row r="219" spans="1:10" hidden="1">
      <c r="A219" t="s">
        <v>32</v>
      </c>
      <c r="B219">
        <v>2019</v>
      </c>
      <c r="C219" t="s">
        <v>31</v>
      </c>
      <c r="D219" s="31" t="str">
        <f t="shared" si="3"/>
        <v>2019-January</v>
      </c>
      <c r="E219" s="1">
        <v>1744.3000000000002</v>
      </c>
      <c r="F219" s="1">
        <v>428.40000000000003</v>
      </c>
      <c r="G219" s="1">
        <v>414.5</v>
      </c>
      <c r="H219" s="1">
        <v>430.6</v>
      </c>
      <c r="I219" s="1">
        <v>247.2</v>
      </c>
      <c r="J219" s="1">
        <v>269.5</v>
      </c>
    </row>
    <row r="220" spans="1:10">
      <c r="A220" t="s">
        <v>33</v>
      </c>
      <c r="B220">
        <v>2019</v>
      </c>
      <c r="C220" t="s">
        <v>31</v>
      </c>
      <c r="D220" s="31" t="str">
        <f t="shared" si="3"/>
        <v>2019-January</v>
      </c>
      <c r="E220" s="1">
        <v>1753.3999999999999</v>
      </c>
      <c r="F220" s="1">
        <v>436.79999999999995</v>
      </c>
      <c r="G220" s="1">
        <v>433</v>
      </c>
      <c r="H220" s="1">
        <v>441.49999999999994</v>
      </c>
      <c r="I220" s="1">
        <v>262.8</v>
      </c>
      <c r="J220" s="1">
        <v>277.89999999999998</v>
      </c>
    </row>
    <row r="221" spans="1:10" hidden="1">
      <c r="A221" t="s">
        <v>30</v>
      </c>
      <c r="B221">
        <v>2019</v>
      </c>
      <c r="C221" t="s">
        <v>34</v>
      </c>
      <c r="D221" s="31" t="str">
        <f t="shared" si="3"/>
        <v>2019-February</v>
      </c>
      <c r="E221" s="1">
        <v>1759.8000000000002</v>
      </c>
      <c r="F221" s="1">
        <v>448.40000000000003</v>
      </c>
      <c r="G221" s="1">
        <v>446.5</v>
      </c>
      <c r="H221" s="1">
        <v>454.1</v>
      </c>
      <c r="I221" s="1">
        <v>274.5</v>
      </c>
      <c r="J221" s="1">
        <v>284.8</v>
      </c>
    </row>
    <row r="222" spans="1:10" hidden="1">
      <c r="A222" t="s">
        <v>32</v>
      </c>
      <c r="B222">
        <v>2019</v>
      </c>
      <c r="C222" t="s">
        <v>34</v>
      </c>
      <c r="D222" s="31" t="str">
        <f t="shared" si="3"/>
        <v>2019-February</v>
      </c>
      <c r="E222" s="1">
        <v>1754.4</v>
      </c>
      <c r="F222" s="1">
        <v>429.5</v>
      </c>
      <c r="G222" s="1">
        <v>415.5</v>
      </c>
      <c r="H222" s="1">
        <v>431.70000000000005</v>
      </c>
      <c r="I222" s="1">
        <v>246.3</v>
      </c>
      <c r="J222" s="1">
        <v>271.5</v>
      </c>
    </row>
    <row r="223" spans="1:10">
      <c r="A223" t="s">
        <v>33</v>
      </c>
      <c r="B223">
        <v>2019</v>
      </c>
      <c r="C223" t="s">
        <v>34</v>
      </c>
      <c r="D223" s="31" t="str">
        <f t="shared" si="3"/>
        <v>2019-February</v>
      </c>
      <c r="E223" s="1">
        <v>1757.1</v>
      </c>
      <c r="F223" s="1">
        <v>437.9</v>
      </c>
      <c r="G223" s="1">
        <v>433.9</v>
      </c>
      <c r="H223" s="1">
        <v>442.5</v>
      </c>
      <c r="I223" s="1">
        <v>262.3</v>
      </c>
      <c r="J223" s="1">
        <v>279.7</v>
      </c>
    </row>
    <row r="224" spans="1:10" hidden="1">
      <c r="A224" t="s">
        <v>30</v>
      </c>
      <c r="B224">
        <v>2019</v>
      </c>
      <c r="C224" t="s">
        <v>35</v>
      </c>
      <c r="D224" s="31" t="str">
        <f t="shared" si="3"/>
        <v>2019-March</v>
      </c>
      <c r="E224" s="1">
        <v>1761.2000000000003</v>
      </c>
      <c r="F224" s="1">
        <v>449.1</v>
      </c>
      <c r="G224" s="1">
        <v>447</v>
      </c>
      <c r="H224" s="1">
        <v>454.5</v>
      </c>
      <c r="I224" s="1">
        <v>276.3</v>
      </c>
      <c r="J224" s="1">
        <v>284.39999999999998</v>
      </c>
    </row>
    <row r="225" spans="1:10" hidden="1">
      <c r="A225" t="s">
        <v>32</v>
      </c>
      <c r="B225">
        <v>2019</v>
      </c>
      <c r="C225" t="s">
        <v>35</v>
      </c>
      <c r="D225" s="31" t="str">
        <f t="shared" si="3"/>
        <v>2019-March</v>
      </c>
      <c r="E225" s="1">
        <v>1768.4</v>
      </c>
      <c r="F225" s="1">
        <v>431.1</v>
      </c>
      <c r="G225" s="1">
        <v>416.29999999999995</v>
      </c>
      <c r="H225" s="1">
        <v>432.5</v>
      </c>
      <c r="I225" s="1">
        <v>248.70000000000002</v>
      </c>
      <c r="J225" s="1">
        <v>271.7</v>
      </c>
    </row>
    <row r="226" spans="1:10">
      <c r="A226" t="s">
        <v>33</v>
      </c>
      <c r="B226">
        <v>2019</v>
      </c>
      <c r="C226" t="s">
        <v>35</v>
      </c>
      <c r="D226" s="31" t="str">
        <f t="shared" si="3"/>
        <v>2019-March</v>
      </c>
      <c r="E226" s="1">
        <v>1762.9</v>
      </c>
      <c r="F226" s="1">
        <v>438.9</v>
      </c>
      <c r="G226" s="1">
        <v>434.5</v>
      </c>
      <c r="H226" s="1">
        <v>443.1</v>
      </c>
      <c r="I226" s="1">
        <v>264.29999999999995</v>
      </c>
      <c r="J226" s="1">
        <v>279.60000000000002</v>
      </c>
    </row>
    <row r="227" spans="1:10" hidden="1">
      <c r="A227" t="s">
        <v>30</v>
      </c>
      <c r="B227">
        <v>2019</v>
      </c>
      <c r="C227" t="s">
        <v>37</v>
      </c>
      <c r="D227" s="31" t="str">
        <f t="shared" si="3"/>
        <v>2019-May</v>
      </c>
      <c r="E227" s="1">
        <v>1782.1000000000001</v>
      </c>
      <c r="F227" s="1">
        <v>452.1</v>
      </c>
      <c r="G227" s="1">
        <v>448.59999999999997</v>
      </c>
      <c r="H227" s="1">
        <v>456.3</v>
      </c>
      <c r="I227" s="1">
        <v>277.10000000000002</v>
      </c>
      <c r="J227" s="1">
        <v>285.20000000000005</v>
      </c>
    </row>
    <row r="228" spans="1:10" hidden="1">
      <c r="A228" t="s">
        <v>32</v>
      </c>
      <c r="B228">
        <v>2019</v>
      </c>
      <c r="C228" t="s">
        <v>37</v>
      </c>
      <c r="D228" s="31" t="str">
        <f t="shared" si="3"/>
        <v>2019-May</v>
      </c>
      <c r="E228" s="1">
        <v>1811.5000000000002</v>
      </c>
      <c r="F228" s="1">
        <v>433.5</v>
      </c>
      <c r="G228" s="1">
        <v>417.9</v>
      </c>
      <c r="H228" s="1">
        <v>435.29999999999995</v>
      </c>
      <c r="I228" s="1">
        <v>249.5</v>
      </c>
      <c r="J228" s="1">
        <v>272.39999999999998</v>
      </c>
    </row>
    <row r="229" spans="1:10">
      <c r="A229" t="s">
        <v>33</v>
      </c>
      <c r="B229">
        <v>2019</v>
      </c>
      <c r="C229" t="s">
        <v>37</v>
      </c>
      <c r="D229" s="31" t="str">
        <f t="shared" si="3"/>
        <v>2019-May</v>
      </c>
      <c r="E229" s="1">
        <v>1791.9000000000003</v>
      </c>
      <c r="F229" s="1">
        <v>441.49999999999994</v>
      </c>
      <c r="G229" s="1">
        <v>436.1</v>
      </c>
      <c r="H229" s="1">
        <v>445.4</v>
      </c>
      <c r="I229" s="1">
        <v>265.20000000000005</v>
      </c>
      <c r="J229" s="1">
        <v>280.3</v>
      </c>
    </row>
    <row r="230" spans="1:10" hidden="1">
      <c r="A230" t="s">
        <v>30</v>
      </c>
      <c r="B230">
        <v>2019</v>
      </c>
      <c r="C230" t="s">
        <v>38</v>
      </c>
      <c r="D230" s="31" t="str">
        <f t="shared" si="3"/>
        <v>2019-June</v>
      </c>
      <c r="E230" s="1">
        <v>1804.1999999999998</v>
      </c>
      <c r="F230" s="1">
        <v>453.90000000000003</v>
      </c>
      <c r="G230" s="1">
        <v>448.59999999999997</v>
      </c>
      <c r="H230" s="1">
        <v>456.7</v>
      </c>
      <c r="I230" s="1">
        <v>278</v>
      </c>
      <c r="J230" s="1">
        <v>286.5</v>
      </c>
    </row>
    <row r="231" spans="1:10" hidden="1">
      <c r="A231" t="s">
        <v>32</v>
      </c>
      <c r="B231">
        <v>2019</v>
      </c>
      <c r="C231" t="s">
        <v>38</v>
      </c>
      <c r="D231" s="31" t="str">
        <f t="shared" si="3"/>
        <v>2019-June</v>
      </c>
      <c r="E231" s="1">
        <v>1833.2999999999997</v>
      </c>
      <c r="F231" s="1">
        <v>434.6</v>
      </c>
      <c r="G231" s="1">
        <v>418.4</v>
      </c>
      <c r="H231" s="1">
        <v>435.70000000000005</v>
      </c>
      <c r="I231" s="1">
        <v>250.1</v>
      </c>
      <c r="J231" s="1">
        <v>274</v>
      </c>
    </row>
    <row r="232" spans="1:10">
      <c r="A232" t="s">
        <v>33</v>
      </c>
      <c r="B232">
        <v>2019</v>
      </c>
      <c r="C232" t="s">
        <v>38</v>
      </c>
      <c r="D232" s="31" t="str">
        <f t="shared" si="3"/>
        <v>2019-June</v>
      </c>
      <c r="E232" s="1">
        <v>1814.1000000000001</v>
      </c>
      <c r="F232" s="1">
        <v>443.1</v>
      </c>
      <c r="G232" s="1">
        <v>436.4</v>
      </c>
      <c r="H232" s="1">
        <v>445.70000000000005</v>
      </c>
      <c r="I232" s="1">
        <v>265.79999999999995</v>
      </c>
      <c r="J232" s="1">
        <v>281.70000000000005</v>
      </c>
    </row>
    <row r="233" spans="1:10" hidden="1">
      <c r="A233" t="s">
        <v>30</v>
      </c>
      <c r="B233">
        <v>2019</v>
      </c>
      <c r="C233" t="s">
        <v>39</v>
      </c>
      <c r="D233" s="31" t="str">
        <f t="shared" si="3"/>
        <v>2019-July</v>
      </c>
      <c r="E233" s="1">
        <v>1826.8999999999999</v>
      </c>
      <c r="F233" s="1">
        <v>456.2</v>
      </c>
      <c r="G233" s="1">
        <v>449.1</v>
      </c>
      <c r="H233" s="1">
        <v>459.70000000000005</v>
      </c>
      <c r="I233" s="1">
        <v>278</v>
      </c>
      <c r="J233" s="1">
        <v>288.29999999999995</v>
      </c>
    </row>
    <row r="234" spans="1:10" hidden="1">
      <c r="A234" t="s">
        <v>32</v>
      </c>
      <c r="B234">
        <v>2019</v>
      </c>
      <c r="C234" t="s">
        <v>39</v>
      </c>
      <c r="D234" s="31" t="str">
        <f t="shared" si="3"/>
        <v>2019-July</v>
      </c>
      <c r="E234" s="1">
        <v>1857.3999999999999</v>
      </c>
      <c r="F234" s="1">
        <v>436.7</v>
      </c>
      <c r="G234" s="1">
        <v>419.3</v>
      </c>
      <c r="H234" s="1">
        <v>438.69999999999993</v>
      </c>
      <c r="I234" s="1">
        <v>247.6</v>
      </c>
      <c r="J234" s="1">
        <v>275.89999999999998</v>
      </c>
    </row>
    <row r="235" spans="1:10">
      <c r="A235" t="s">
        <v>33</v>
      </c>
      <c r="B235">
        <v>2019</v>
      </c>
      <c r="C235" t="s">
        <v>39</v>
      </c>
      <c r="D235" s="31" t="str">
        <f t="shared" si="3"/>
        <v>2019-July</v>
      </c>
      <c r="E235" s="1">
        <v>1837.5</v>
      </c>
      <c r="F235" s="1">
        <v>445.2</v>
      </c>
      <c r="G235" s="1">
        <v>437</v>
      </c>
      <c r="H235" s="1">
        <v>448.79999999999995</v>
      </c>
      <c r="I235" s="1">
        <v>264.89999999999998</v>
      </c>
      <c r="J235" s="1">
        <v>283.60000000000002</v>
      </c>
    </row>
    <row r="236" spans="1:10" hidden="1">
      <c r="A236" t="s">
        <v>30</v>
      </c>
      <c r="B236">
        <v>2019</v>
      </c>
      <c r="C236" t="s">
        <v>40</v>
      </c>
      <c r="D236" s="31" t="str">
        <f t="shared" si="3"/>
        <v>2019-August</v>
      </c>
      <c r="E236" s="1">
        <v>1834.5000000000002</v>
      </c>
      <c r="F236" s="1">
        <v>458</v>
      </c>
      <c r="G236" s="1">
        <v>449.5</v>
      </c>
      <c r="H236" s="1">
        <v>461.49999999999994</v>
      </c>
      <c r="I236" s="1">
        <v>277.8</v>
      </c>
      <c r="J236" s="1">
        <v>291.5</v>
      </c>
    </row>
    <row r="237" spans="1:10" hidden="1">
      <c r="A237" t="s">
        <v>32</v>
      </c>
      <c r="B237">
        <v>2019</v>
      </c>
      <c r="C237" t="s">
        <v>40</v>
      </c>
      <c r="D237" s="31" t="str">
        <f t="shared" si="3"/>
        <v>2019-August</v>
      </c>
      <c r="E237" s="1">
        <v>1869.1</v>
      </c>
      <c r="F237" s="1">
        <v>438.6</v>
      </c>
      <c r="G237" s="1">
        <v>420.2</v>
      </c>
      <c r="H237" s="1">
        <v>441.2</v>
      </c>
      <c r="I237" s="1">
        <v>246.3</v>
      </c>
      <c r="J237" s="1">
        <v>279.3</v>
      </c>
    </row>
    <row r="238" spans="1:10">
      <c r="A238" t="s">
        <v>33</v>
      </c>
      <c r="B238">
        <v>2019</v>
      </c>
      <c r="C238" t="s">
        <v>40</v>
      </c>
      <c r="D238" s="31" t="str">
        <f t="shared" si="3"/>
        <v>2019-August</v>
      </c>
      <c r="E238" s="1">
        <v>1846.5</v>
      </c>
      <c r="F238" s="1">
        <v>446.90000000000003</v>
      </c>
      <c r="G238" s="1">
        <v>437.6</v>
      </c>
      <c r="H238" s="1">
        <v>451</v>
      </c>
      <c r="I238" s="1">
        <v>264.3</v>
      </c>
      <c r="J238" s="1">
        <v>286.89999999999998</v>
      </c>
    </row>
    <row r="239" spans="1:10" hidden="1">
      <c r="A239" t="s">
        <v>30</v>
      </c>
      <c r="B239">
        <v>2019</v>
      </c>
      <c r="C239" t="s">
        <v>41</v>
      </c>
      <c r="D239" s="31" t="str">
        <f t="shared" si="3"/>
        <v>2019-September</v>
      </c>
      <c r="E239" s="1">
        <v>1848.7</v>
      </c>
      <c r="F239" s="1">
        <v>459.4</v>
      </c>
      <c r="G239" s="1">
        <v>449.29999999999995</v>
      </c>
      <c r="H239" s="1">
        <v>462.7</v>
      </c>
      <c r="I239" s="1">
        <v>278.5</v>
      </c>
      <c r="J239" s="1">
        <v>293.60000000000002</v>
      </c>
    </row>
    <row r="240" spans="1:10" hidden="1">
      <c r="A240" t="s">
        <v>32</v>
      </c>
      <c r="B240">
        <v>2019</v>
      </c>
      <c r="C240" t="s">
        <v>41</v>
      </c>
      <c r="D240" s="31" t="str">
        <f t="shared" si="3"/>
        <v>2019-September</v>
      </c>
      <c r="E240" s="1">
        <v>1874.9</v>
      </c>
      <c r="F240" s="1">
        <v>440.2</v>
      </c>
      <c r="G240" s="1">
        <v>420.8</v>
      </c>
      <c r="H240" s="1">
        <v>442.1</v>
      </c>
      <c r="I240" s="1">
        <v>247.8</v>
      </c>
      <c r="J240" s="1">
        <v>280.89999999999998</v>
      </c>
    </row>
    <row r="241" spans="1:10">
      <c r="A241" t="s">
        <v>33</v>
      </c>
      <c r="B241">
        <v>2019</v>
      </c>
      <c r="C241" t="s">
        <v>41</v>
      </c>
      <c r="D241" s="31" t="str">
        <f t="shared" si="3"/>
        <v>2019-September</v>
      </c>
      <c r="E241" s="1">
        <v>1857.6999999999998</v>
      </c>
      <c r="F241" s="1">
        <v>448.5</v>
      </c>
      <c r="G241" s="1">
        <v>437.69999999999993</v>
      </c>
      <c r="H241" s="1">
        <v>451.99999999999994</v>
      </c>
      <c r="I241" s="1">
        <v>265.29999999999995</v>
      </c>
      <c r="J241" s="1">
        <v>288.7</v>
      </c>
    </row>
    <row r="242" spans="1:10" hidden="1">
      <c r="A242" t="s">
        <v>30</v>
      </c>
      <c r="B242">
        <v>2019</v>
      </c>
      <c r="C242" t="s">
        <v>42</v>
      </c>
      <c r="D242" s="31" t="str">
        <f t="shared" si="3"/>
        <v>2019-October</v>
      </c>
      <c r="E242" s="1">
        <v>1876.8999999999996</v>
      </c>
      <c r="F242" s="1">
        <v>460.7</v>
      </c>
      <c r="G242" s="1">
        <v>449.4</v>
      </c>
      <c r="H242" s="1">
        <v>464.3</v>
      </c>
      <c r="I242" s="1">
        <v>279.39999999999998</v>
      </c>
      <c r="J242" s="1">
        <v>294</v>
      </c>
    </row>
    <row r="243" spans="1:10" hidden="1">
      <c r="A243" t="s">
        <v>32</v>
      </c>
      <c r="B243">
        <v>2019</v>
      </c>
      <c r="C243" t="s">
        <v>42</v>
      </c>
      <c r="D243" s="31" t="str">
        <f t="shared" si="3"/>
        <v>2019-October</v>
      </c>
      <c r="E243" s="1">
        <v>1902.6000000000001</v>
      </c>
      <c r="F243" s="1">
        <v>441.5</v>
      </c>
      <c r="G243" s="1">
        <v>422.20000000000005</v>
      </c>
      <c r="H243" s="1">
        <v>443.4</v>
      </c>
      <c r="I243" s="1">
        <v>250.4</v>
      </c>
      <c r="J243" s="1">
        <v>281.89999999999998</v>
      </c>
    </row>
    <row r="244" spans="1:10">
      <c r="A244" t="s">
        <v>33</v>
      </c>
      <c r="B244">
        <v>2019</v>
      </c>
      <c r="C244" t="s">
        <v>42</v>
      </c>
      <c r="D244" s="31" t="str">
        <f t="shared" si="3"/>
        <v>2019-October</v>
      </c>
      <c r="E244" s="1">
        <v>1885.5999999999997</v>
      </c>
      <c r="F244" s="1">
        <v>449.79999999999995</v>
      </c>
      <c r="G244" s="1">
        <v>438.40000000000003</v>
      </c>
      <c r="H244" s="1">
        <v>453.4</v>
      </c>
      <c r="I244" s="1">
        <v>266.89999999999998</v>
      </c>
      <c r="J244" s="1">
        <v>289.39999999999998</v>
      </c>
    </row>
    <row r="245" spans="1:10" hidden="1">
      <c r="A245" t="s">
        <v>30</v>
      </c>
      <c r="B245">
        <v>2019</v>
      </c>
      <c r="C245" t="s">
        <v>44</v>
      </c>
      <c r="D245" s="31" t="str">
        <f t="shared" si="3"/>
        <v>2019-November</v>
      </c>
      <c r="E245" s="1">
        <v>1904.6000000000001</v>
      </c>
      <c r="F245" s="1">
        <v>462.4</v>
      </c>
      <c r="G245" s="1">
        <v>450.8</v>
      </c>
      <c r="H245" s="1">
        <v>465.2</v>
      </c>
      <c r="I245" s="1">
        <v>280.5</v>
      </c>
      <c r="J245" s="1">
        <v>294.89999999999998</v>
      </c>
    </row>
    <row r="246" spans="1:10" hidden="1">
      <c r="A246" t="s">
        <v>32</v>
      </c>
      <c r="B246">
        <v>2019</v>
      </c>
      <c r="C246" t="s">
        <v>44</v>
      </c>
      <c r="D246" s="31" t="str">
        <f t="shared" si="3"/>
        <v>2019-November</v>
      </c>
      <c r="E246" s="1">
        <v>1923.9999999999998</v>
      </c>
      <c r="F246" s="1">
        <v>442.90000000000003</v>
      </c>
      <c r="G246" s="1">
        <v>423.09999999999997</v>
      </c>
      <c r="H246" s="1">
        <v>444.40000000000003</v>
      </c>
      <c r="I246" s="1">
        <v>253.89999999999998</v>
      </c>
      <c r="J246" s="1">
        <v>282.60000000000002</v>
      </c>
    </row>
    <row r="247" spans="1:10">
      <c r="A247" t="s">
        <v>33</v>
      </c>
      <c r="B247">
        <v>2019</v>
      </c>
      <c r="C247" t="s">
        <v>44</v>
      </c>
      <c r="D247" s="31" t="str">
        <f t="shared" si="3"/>
        <v>2019-November</v>
      </c>
      <c r="E247" s="1">
        <v>1910.9</v>
      </c>
      <c r="F247" s="1">
        <v>451.3</v>
      </c>
      <c r="G247" s="1">
        <v>439.5</v>
      </c>
      <c r="H247" s="1">
        <v>454.3</v>
      </c>
      <c r="I247" s="1">
        <v>268.89999999999998</v>
      </c>
      <c r="J247" s="1">
        <v>290.20000000000005</v>
      </c>
    </row>
    <row r="248" spans="1:10" hidden="1">
      <c r="A248" t="s">
        <v>30</v>
      </c>
      <c r="B248">
        <v>2019</v>
      </c>
      <c r="C248" t="s">
        <v>45</v>
      </c>
      <c r="D248" s="31" t="str">
        <f t="shared" si="3"/>
        <v>2019-December</v>
      </c>
      <c r="E248" s="1">
        <v>1940.9999999999995</v>
      </c>
      <c r="F248" s="1">
        <v>464.4</v>
      </c>
      <c r="G248" s="1">
        <v>451.79999999999995</v>
      </c>
      <c r="H248" s="1">
        <v>465.1</v>
      </c>
      <c r="I248" s="1">
        <v>284.89999999999998</v>
      </c>
      <c r="J248" s="1">
        <v>295.39999999999998</v>
      </c>
    </row>
    <row r="249" spans="1:10" hidden="1">
      <c r="A249" t="s">
        <v>32</v>
      </c>
      <c r="B249">
        <v>2019</v>
      </c>
      <c r="C249" t="s">
        <v>45</v>
      </c>
      <c r="D249" s="31" t="str">
        <f t="shared" si="3"/>
        <v>2019-December</v>
      </c>
      <c r="E249" s="1">
        <v>1956.7</v>
      </c>
      <c r="F249" s="1">
        <v>444.90000000000003</v>
      </c>
      <c r="G249" s="1">
        <v>424.20000000000005</v>
      </c>
      <c r="H249" s="1">
        <v>444.5</v>
      </c>
      <c r="I249" s="1">
        <v>258.8</v>
      </c>
      <c r="J249" s="1">
        <v>283.39999999999998</v>
      </c>
    </row>
    <row r="250" spans="1:10">
      <c r="A250" t="s">
        <v>33</v>
      </c>
      <c r="B250">
        <v>2019</v>
      </c>
      <c r="C250" t="s">
        <v>45</v>
      </c>
      <c r="D250" s="31" t="str">
        <f t="shared" si="3"/>
        <v>2019-December</v>
      </c>
      <c r="E250" s="1">
        <v>1946.1000000000001</v>
      </c>
      <c r="F250" s="1">
        <v>453.3</v>
      </c>
      <c r="G250" s="1">
        <v>440.6</v>
      </c>
      <c r="H250" s="1">
        <v>454.3</v>
      </c>
      <c r="I250" s="1">
        <v>273.5</v>
      </c>
      <c r="J250" s="1">
        <v>290.8</v>
      </c>
    </row>
    <row r="251" spans="1:10" hidden="1">
      <c r="A251" t="s">
        <v>30</v>
      </c>
      <c r="B251">
        <v>2020</v>
      </c>
      <c r="C251" t="s">
        <v>31</v>
      </c>
      <c r="D251" s="31" t="str">
        <f t="shared" si="3"/>
        <v>2020-January</v>
      </c>
      <c r="E251" s="1">
        <v>1938.6</v>
      </c>
      <c r="F251" s="1">
        <v>466.79999999999995</v>
      </c>
      <c r="G251" s="1">
        <v>452.30000000000007</v>
      </c>
      <c r="H251" s="1">
        <v>467.3</v>
      </c>
      <c r="I251" s="1">
        <v>286.70000000000005</v>
      </c>
      <c r="J251" s="1">
        <v>298.2</v>
      </c>
    </row>
    <row r="252" spans="1:10" hidden="1">
      <c r="A252" t="s">
        <v>32</v>
      </c>
      <c r="B252">
        <v>2020</v>
      </c>
      <c r="C252" t="s">
        <v>31</v>
      </c>
      <c r="D252" s="31" t="str">
        <f t="shared" si="3"/>
        <v>2020-January</v>
      </c>
      <c r="E252" s="1">
        <v>1945.3999999999999</v>
      </c>
      <c r="F252" s="1">
        <v>446.4</v>
      </c>
      <c r="G252" s="1">
        <v>425.1</v>
      </c>
      <c r="H252" s="1">
        <v>446.1</v>
      </c>
      <c r="I252" s="1">
        <v>261.2</v>
      </c>
      <c r="J252" s="1">
        <v>285.89999999999998</v>
      </c>
    </row>
    <row r="253" spans="1:10">
      <c r="A253" t="s">
        <v>33</v>
      </c>
      <c r="B253">
        <v>2020</v>
      </c>
      <c r="C253" t="s">
        <v>31</v>
      </c>
      <c r="D253" s="31" t="str">
        <f t="shared" si="3"/>
        <v>2020-January</v>
      </c>
      <c r="E253" s="1">
        <v>1940.3999999999999</v>
      </c>
      <c r="F253" s="1">
        <v>455.4</v>
      </c>
      <c r="G253" s="1">
        <v>441.2</v>
      </c>
      <c r="H253" s="1">
        <v>456.20000000000005</v>
      </c>
      <c r="I253" s="1">
        <v>275.5</v>
      </c>
      <c r="J253" s="1">
        <v>293.5</v>
      </c>
    </row>
    <row r="254" spans="1:10" hidden="1">
      <c r="A254" t="s">
        <v>30</v>
      </c>
      <c r="B254">
        <v>2020</v>
      </c>
      <c r="C254" t="s">
        <v>34</v>
      </c>
      <c r="D254" s="31" t="str">
        <f t="shared" si="3"/>
        <v>2020-February</v>
      </c>
      <c r="E254" s="1">
        <v>1909.7999999999997</v>
      </c>
      <c r="F254" s="1">
        <v>468.20000000000005</v>
      </c>
      <c r="G254" s="1">
        <v>452.8</v>
      </c>
      <c r="H254" s="1">
        <v>468.5</v>
      </c>
      <c r="I254" s="1">
        <v>288.3</v>
      </c>
      <c r="J254" s="1">
        <v>299.60000000000002</v>
      </c>
    </row>
    <row r="255" spans="1:10" hidden="1">
      <c r="A255" t="s">
        <v>32</v>
      </c>
      <c r="B255">
        <v>2020</v>
      </c>
      <c r="C255" t="s">
        <v>34</v>
      </c>
      <c r="D255" s="31" t="str">
        <f t="shared" si="3"/>
        <v>2020-February</v>
      </c>
      <c r="E255" s="1">
        <v>1916.6</v>
      </c>
      <c r="F255" s="1">
        <v>448.1</v>
      </c>
      <c r="G255" s="1">
        <v>426</v>
      </c>
      <c r="H255" s="1">
        <v>447.40000000000003</v>
      </c>
      <c r="I255" s="1">
        <v>264.10000000000002</v>
      </c>
      <c r="J255" s="1">
        <v>287.89999999999998</v>
      </c>
    </row>
    <row r="256" spans="1:10">
      <c r="A256" t="s">
        <v>33</v>
      </c>
      <c r="B256">
        <v>2020</v>
      </c>
      <c r="C256" t="s">
        <v>34</v>
      </c>
      <c r="D256" s="31" t="str">
        <f t="shared" si="3"/>
        <v>2020-February</v>
      </c>
      <c r="E256" s="1">
        <v>1911.6</v>
      </c>
      <c r="F256" s="1">
        <v>456.9</v>
      </c>
      <c r="G256" s="1">
        <v>442</v>
      </c>
      <c r="H256" s="1">
        <v>457.40000000000003</v>
      </c>
      <c r="I256" s="1">
        <v>277.5</v>
      </c>
      <c r="J256" s="1">
        <v>295.10000000000002</v>
      </c>
    </row>
    <row r="257" spans="1:10" hidden="1">
      <c r="A257" t="s">
        <v>30</v>
      </c>
      <c r="B257">
        <v>2020</v>
      </c>
      <c r="C257" t="s">
        <v>35</v>
      </c>
      <c r="D257" s="31" t="str">
        <f t="shared" si="3"/>
        <v>2020-March</v>
      </c>
      <c r="E257" s="1">
        <v>1894.5999999999997</v>
      </c>
      <c r="F257" s="1">
        <v>470.29999999999995</v>
      </c>
      <c r="G257" s="1">
        <v>453.5</v>
      </c>
      <c r="H257" s="1">
        <v>467.2</v>
      </c>
      <c r="I257" s="1">
        <v>289.20000000000005</v>
      </c>
      <c r="J257" s="1">
        <v>301.79999999999995</v>
      </c>
    </row>
    <row r="258" spans="1:10" hidden="1">
      <c r="A258" t="s">
        <v>32</v>
      </c>
      <c r="B258">
        <v>2020</v>
      </c>
      <c r="C258" t="s">
        <v>35</v>
      </c>
      <c r="D258" s="31" t="str">
        <f t="shared" si="3"/>
        <v>2020-March</v>
      </c>
      <c r="E258" s="1">
        <v>1898.5</v>
      </c>
      <c r="F258" s="1">
        <v>449.90000000000003</v>
      </c>
      <c r="G258" s="1">
        <v>427.1</v>
      </c>
      <c r="H258" s="1">
        <v>447.8</v>
      </c>
      <c r="I258" s="1">
        <v>266</v>
      </c>
      <c r="J258" s="1">
        <v>290.3</v>
      </c>
    </row>
    <row r="259" spans="1:10">
      <c r="A259" t="s">
        <v>33</v>
      </c>
      <c r="B259">
        <v>2020</v>
      </c>
      <c r="C259" t="s">
        <v>35</v>
      </c>
      <c r="D259" s="31" t="str">
        <f t="shared" ref="D259:D322" si="4">CONCATENATE(B259,"-",C259)</f>
        <v>2020-March</v>
      </c>
      <c r="E259" s="1">
        <v>1895.4</v>
      </c>
      <c r="F259" s="1">
        <v>458.7</v>
      </c>
      <c r="G259" s="1">
        <v>442.90000000000003</v>
      </c>
      <c r="H259" s="1">
        <v>457</v>
      </c>
      <c r="I259" s="1">
        <v>278.8</v>
      </c>
      <c r="J259" s="1">
        <v>297.5</v>
      </c>
    </row>
    <row r="260" spans="1:10" hidden="1">
      <c r="A260" t="s">
        <v>30</v>
      </c>
      <c r="B260">
        <v>2020</v>
      </c>
      <c r="C260" t="s">
        <v>36</v>
      </c>
      <c r="D260" s="31" t="str">
        <f t="shared" si="4"/>
        <v>2020-April</v>
      </c>
      <c r="E260" s="1">
        <v>1954.4000000000003</v>
      </c>
      <c r="F260" s="1">
        <v>478.79999999999995</v>
      </c>
      <c r="G260" s="1">
        <v>456.15000000000003</v>
      </c>
      <c r="H260" s="1">
        <v>468.7</v>
      </c>
      <c r="I260" s="1">
        <v>287</v>
      </c>
      <c r="J260" s="1">
        <v>302.45</v>
      </c>
    </row>
    <row r="261" spans="1:10" hidden="1">
      <c r="A261" t="s">
        <v>32</v>
      </c>
      <c r="B261">
        <v>2020</v>
      </c>
      <c r="C261" t="s">
        <v>36</v>
      </c>
      <c r="D261" s="31" t="str">
        <f t="shared" si="4"/>
        <v>2020-April</v>
      </c>
      <c r="E261" s="1">
        <v>1979.3999999999999</v>
      </c>
      <c r="F261" s="1">
        <v>461.54999999999995</v>
      </c>
      <c r="G261" s="1">
        <v>429.99999999999994</v>
      </c>
      <c r="H261" s="1">
        <v>448.70000000000005</v>
      </c>
      <c r="I261" s="1">
        <v>264.05</v>
      </c>
      <c r="J261" s="1">
        <v>293.55</v>
      </c>
    </row>
    <row r="262" spans="1:10">
      <c r="A262" t="s">
        <v>33</v>
      </c>
      <c r="B262">
        <v>2020</v>
      </c>
      <c r="C262" t="s">
        <v>36</v>
      </c>
      <c r="D262" s="31" t="str">
        <f t="shared" si="4"/>
        <v>2020-April</v>
      </c>
      <c r="E262" s="1">
        <v>1963.3</v>
      </c>
      <c r="F262" s="1">
        <v>468.75</v>
      </c>
      <c r="G262" s="1">
        <v>445.6</v>
      </c>
      <c r="H262" s="1">
        <v>458.25</v>
      </c>
      <c r="I262" s="1">
        <v>276.54999999999995</v>
      </c>
      <c r="J262" s="1">
        <v>299.09999999999997</v>
      </c>
    </row>
    <row r="263" spans="1:10" hidden="1">
      <c r="A263" t="s">
        <v>30</v>
      </c>
      <c r="B263">
        <v>2020</v>
      </c>
      <c r="C263" t="s">
        <v>37</v>
      </c>
      <c r="D263" s="31" t="str">
        <f t="shared" si="4"/>
        <v>2020-May</v>
      </c>
      <c r="E263" s="1">
        <v>1952.6999999999998</v>
      </c>
      <c r="F263" s="1">
        <v>483.04999999999995</v>
      </c>
      <c r="G263" s="1">
        <v>457.47499999999997</v>
      </c>
      <c r="H263" s="1">
        <v>468.44999999999993</v>
      </c>
      <c r="I263" s="1">
        <v>286.64999999999998</v>
      </c>
      <c r="J263" s="1">
        <v>305.92499999999995</v>
      </c>
    </row>
    <row r="264" spans="1:10" hidden="1">
      <c r="A264" t="s">
        <v>32</v>
      </c>
      <c r="B264">
        <v>2020</v>
      </c>
      <c r="C264" t="s">
        <v>37</v>
      </c>
      <c r="D264" s="31" t="str">
        <f t="shared" si="4"/>
        <v>2020-May</v>
      </c>
      <c r="E264" s="1">
        <v>1987.2000000000003</v>
      </c>
      <c r="F264" s="1">
        <v>467.375</v>
      </c>
      <c r="G264" s="1">
        <v>431.44999999999993</v>
      </c>
      <c r="H264" s="1">
        <v>448.15</v>
      </c>
      <c r="I264" s="1">
        <v>265.22500000000002</v>
      </c>
      <c r="J264" s="1">
        <v>296.92499999999995</v>
      </c>
    </row>
    <row r="265" spans="1:10">
      <c r="A265" t="s">
        <v>33</v>
      </c>
      <c r="B265">
        <v>2020</v>
      </c>
      <c r="C265" t="s">
        <v>37</v>
      </c>
      <c r="D265" s="31" t="str">
        <f t="shared" si="4"/>
        <v>2020-May</v>
      </c>
      <c r="E265" s="1">
        <v>1965.0499999999997</v>
      </c>
      <c r="F265" s="1">
        <v>473.77500000000003</v>
      </c>
      <c r="G265" s="1">
        <v>446.95000000000005</v>
      </c>
      <c r="H265" s="1">
        <v>457.87499999999994</v>
      </c>
      <c r="I265" s="1">
        <v>276.72500000000002</v>
      </c>
      <c r="J265" s="1">
        <v>302.55</v>
      </c>
    </row>
    <row r="266" spans="1:10" hidden="1">
      <c r="A266" t="s">
        <v>30</v>
      </c>
      <c r="B266">
        <v>2020</v>
      </c>
      <c r="C266" t="s">
        <v>38</v>
      </c>
      <c r="D266" s="31" t="str">
        <f t="shared" si="4"/>
        <v>2020-June</v>
      </c>
      <c r="E266" s="1">
        <v>1951</v>
      </c>
      <c r="F266" s="1">
        <v>487.3</v>
      </c>
      <c r="G266" s="1">
        <v>458.79999999999995</v>
      </c>
      <c r="H266" s="1">
        <v>468.2</v>
      </c>
      <c r="I266" s="1">
        <v>286.3</v>
      </c>
      <c r="J266" s="1">
        <v>309.39999999999998</v>
      </c>
    </row>
    <row r="267" spans="1:10" hidden="1">
      <c r="A267" t="s">
        <v>32</v>
      </c>
      <c r="B267">
        <v>2020</v>
      </c>
      <c r="C267" t="s">
        <v>38</v>
      </c>
      <c r="D267" s="31" t="str">
        <f t="shared" si="4"/>
        <v>2020-June</v>
      </c>
      <c r="E267" s="1">
        <v>1994.9999999999998</v>
      </c>
      <c r="F267" s="1">
        <v>473.2</v>
      </c>
      <c r="G267" s="1">
        <v>432.9</v>
      </c>
      <c r="H267" s="1">
        <v>447.6</v>
      </c>
      <c r="I267" s="1">
        <v>266.39999999999998</v>
      </c>
      <c r="J267" s="1">
        <v>300.29999999999995</v>
      </c>
    </row>
    <row r="268" spans="1:10">
      <c r="A268" t="s">
        <v>33</v>
      </c>
      <c r="B268">
        <v>2020</v>
      </c>
      <c r="C268" t="s">
        <v>38</v>
      </c>
      <c r="D268" s="31" t="str">
        <f t="shared" si="4"/>
        <v>2020-June</v>
      </c>
      <c r="E268" s="1">
        <v>1966.8000000000002</v>
      </c>
      <c r="F268" s="1">
        <v>478.8</v>
      </c>
      <c r="G268" s="1">
        <v>448.29999999999995</v>
      </c>
      <c r="H268" s="1">
        <v>457.5</v>
      </c>
      <c r="I268" s="1">
        <v>276.89999999999998</v>
      </c>
      <c r="J268" s="1">
        <v>306</v>
      </c>
    </row>
    <row r="269" spans="1:10" hidden="1">
      <c r="A269" t="s">
        <v>30</v>
      </c>
      <c r="B269">
        <v>2020</v>
      </c>
      <c r="C269" t="s">
        <v>39</v>
      </c>
      <c r="D269" s="31" t="str">
        <f t="shared" si="4"/>
        <v>2020-July</v>
      </c>
      <c r="E269" s="1">
        <v>1951</v>
      </c>
      <c r="F269" s="1">
        <v>487.3</v>
      </c>
      <c r="G269" s="1">
        <v>458.79999999999995</v>
      </c>
      <c r="H269" s="1">
        <v>468.2</v>
      </c>
      <c r="I269" s="1">
        <v>286.3</v>
      </c>
      <c r="J269" s="1">
        <v>309.39999999999998</v>
      </c>
    </row>
    <row r="270" spans="1:10" hidden="1">
      <c r="A270" t="s">
        <v>32</v>
      </c>
      <c r="B270">
        <v>2020</v>
      </c>
      <c r="C270" t="s">
        <v>39</v>
      </c>
      <c r="D270" s="31" t="str">
        <f t="shared" si="4"/>
        <v>2020-July</v>
      </c>
      <c r="E270" s="1">
        <v>1994.9999999999998</v>
      </c>
      <c r="F270" s="1">
        <v>473.2</v>
      </c>
      <c r="G270" s="1">
        <v>432.9</v>
      </c>
      <c r="H270" s="1">
        <v>447.6</v>
      </c>
      <c r="I270" s="1">
        <v>266.39999999999998</v>
      </c>
      <c r="J270" s="1">
        <v>300.29999999999995</v>
      </c>
    </row>
    <row r="271" spans="1:10">
      <c r="A271" t="s">
        <v>33</v>
      </c>
      <c r="B271">
        <v>2020</v>
      </c>
      <c r="C271" t="s">
        <v>39</v>
      </c>
      <c r="D271" s="31" t="str">
        <f t="shared" si="4"/>
        <v>2020-July</v>
      </c>
      <c r="E271" s="1">
        <v>1966.8000000000002</v>
      </c>
      <c r="F271" s="1">
        <v>478.8</v>
      </c>
      <c r="G271" s="1">
        <v>448.29999999999995</v>
      </c>
      <c r="H271" s="1">
        <v>457.5</v>
      </c>
      <c r="I271" s="1">
        <v>276.89999999999998</v>
      </c>
      <c r="J271" s="1">
        <v>306</v>
      </c>
    </row>
    <row r="272" spans="1:10" hidden="1">
      <c r="A272" t="s">
        <v>30</v>
      </c>
      <c r="B272">
        <v>2020</v>
      </c>
      <c r="C272" t="s">
        <v>40</v>
      </c>
      <c r="D272" s="31" t="str">
        <f t="shared" si="4"/>
        <v>2020-August</v>
      </c>
      <c r="E272" s="1">
        <v>1978.6</v>
      </c>
      <c r="F272" s="1">
        <v>486.1</v>
      </c>
      <c r="G272" s="1">
        <v>458.7</v>
      </c>
      <c r="H272" s="1">
        <v>470.09999999999997</v>
      </c>
      <c r="I272" s="1">
        <v>289.39999999999998</v>
      </c>
      <c r="J272" s="1">
        <v>312.39999999999998</v>
      </c>
    </row>
    <row r="273" spans="1:10" hidden="1">
      <c r="A273" t="s">
        <v>32</v>
      </c>
      <c r="B273">
        <v>2020</v>
      </c>
      <c r="C273" t="s">
        <v>40</v>
      </c>
      <c r="D273" s="31" t="str">
        <f t="shared" si="4"/>
        <v>2020-August</v>
      </c>
      <c r="E273" s="1">
        <v>2024.8999999999999</v>
      </c>
      <c r="F273" s="1">
        <v>473.2</v>
      </c>
      <c r="G273" s="1">
        <v>433</v>
      </c>
      <c r="H273" s="1">
        <v>455.5</v>
      </c>
      <c r="I273" s="1">
        <v>272.20000000000005</v>
      </c>
      <c r="J273" s="1">
        <v>303.89999999999998</v>
      </c>
    </row>
    <row r="274" spans="1:10">
      <c r="A274" t="s">
        <v>33</v>
      </c>
      <c r="B274">
        <v>2020</v>
      </c>
      <c r="C274" t="s">
        <v>40</v>
      </c>
      <c r="D274" s="31" t="str">
        <f t="shared" si="4"/>
        <v>2020-August</v>
      </c>
      <c r="E274" s="1">
        <v>1995.1999999999998</v>
      </c>
      <c r="F274" s="1">
        <v>477.6</v>
      </c>
      <c r="G274" s="1">
        <v>448.2</v>
      </c>
      <c r="H274" s="1">
        <v>462.4</v>
      </c>
      <c r="I274" s="1">
        <v>281.5</v>
      </c>
      <c r="J274" s="1">
        <v>309.3</v>
      </c>
    </row>
    <row r="275" spans="1:10" hidden="1">
      <c r="A275" t="s">
        <v>30</v>
      </c>
      <c r="B275">
        <v>2020</v>
      </c>
      <c r="C275" t="s">
        <v>41</v>
      </c>
      <c r="D275" s="31" t="str">
        <f t="shared" si="4"/>
        <v>2020-September</v>
      </c>
      <c r="E275" s="1">
        <v>1987.3999999999999</v>
      </c>
      <c r="F275" s="1">
        <v>489.40000000000003</v>
      </c>
      <c r="G275" s="1">
        <v>459.9</v>
      </c>
      <c r="H275" s="1">
        <v>469</v>
      </c>
      <c r="I275" s="1">
        <v>291</v>
      </c>
      <c r="J275" s="1">
        <v>316.5</v>
      </c>
    </row>
    <row r="276" spans="1:10" hidden="1">
      <c r="A276" t="s">
        <v>32</v>
      </c>
      <c r="B276">
        <v>2020</v>
      </c>
      <c r="C276" t="s">
        <v>41</v>
      </c>
      <c r="D276" s="31" t="str">
        <f t="shared" si="4"/>
        <v>2020-September</v>
      </c>
      <c r="E276" s="1">
        <v>2041.6000000000001</v>
      </c>
      <c r="F276" s="1">
        <v>476.5</v>
      </c>
      <c r="G276" s="1">
        <v>434.6</v>
      </c>
      <c r="H276" s="1">
        <v>456.6</v>
      </c>
      <c r="I276" s="1">
        <v>272.29999999999995</v>
      </c>
      <c r="J276" s="1">
        <v>309.8</v>
      </c>
    </row>
    <row r="277" spans="1:10">
      <c r="A277" t="s">
        <v>33</v>
      </c>
      <c r="B277">
        <v>2020</v>
      </c>
      <c r="C277" t="s">
        <v>41</v>
      </c>
      <c r="D277" s="31" t="str">
        <f t="shared" si="4"/>
        <v>2020-September</v>
      </c>
      <c r="E277" s="1">
        <v>2007</v>
      </c>
      <c r="F277" s="1">
        <v>481</v>
      </c>
      <c r="G277" s="1">
        <v>449.70000000000005</v>
      </c>
      <c r="H277" s="1">
        <v>462.5</v>
      </c>
      <c r="I277" s="1">
        <v>282.5</v>
      </c>
      <c r="J277" s="1">
        <v>314</v>
      </c>
    </row>
    <row r="278" spans="1:10" hidden="1">
      <c r="A278" t="s">
        <v>30</v>
      </c>
      <c r="B278">
        <v>2020</v>
      </c>
      <c r="C278" t="s">
        <v>42</v>
      </c>
      <c r="D278" s="31" t="str">
        <f t="shared" si="4"/>
        <v>2020-October</v>
      </c>
      <c r="E278" s="1">
        <v>2030.9</v>
      </c>
      <c r="F278" s="1">
        <v>489.40000000000003</v>
      </c>
      <c r="G278" s="1">
        <v>461.29999999999995</v>
      </c>
      <c r="H278" s="1">
        <v>471</v>
      </c>
      <c r="I278" s="1">
        <v>293.20000000000005</v>
      </c>
      <c r="J278" s="1">
        <v>315.7</v>
      </c>
    </row>
    <row r="279" spans="1:10" hidden="1">
      <c r="A279" t="s">
        <v>32</v>
      </c>
      <c r="B279">
        <v>2020</v>
      </c>
      <c r="C279" t="s">
        <v>42</v>
      </c>
      <c r="D279" s="31" t="str">
        <f t="shared" si="4"/>
        <v>2020-October</v>
      </c>
      <c r="E279" s="1">
        <v>2080.1999999999998</v>
      </c>
      <c r="F279" s="1">
        <v>476.9</v>
      </c>
      <c r="G279" s="1">
        <v>434.90000000000003</v>
      </c>
      <c r="H279" s="1">
        <v>457.3</v>
      </c>
      <c r="I279" s="1">
        <v>272.5</v>
      </c>
      <c r="J279" s="1">
        <v>309.10000000000002</v>
      </c>
    </row>
    <row r="280" spans="1:10">
      <c r="A280" t="s">
        <v>33</v>
      </c>
      <c r="B280">
        <v>2020</v>
      </c>
      <c r="C280" t="s">
        <v>42</v>
      </c>
      <c r="D280" s="31" t="str">
        <f t="shared" si="4"/>
        <v>2020-October</v>
      </c>
      <c r="E280" s="1">
        <v>2048.6000000000004</v>
      </c>
      <c r="F280" s="1">
        <v>481.20000000000005</v>
      </c>
      <c r="G280" s="1">
        <v>450.59999999999997</v>
      </c>
      <c r="H280" s="1">
        <v>463.7</v>
      </c>
      <c r="I280" s="1">
        <v>283.7</v>
      </c>
      <c r="J280" s="1">
        <v>313.3</v>
      </c>
    </row>
    <row r="281" spans="1:10" hidden="1">
      <c r="A281" t="s">
        <v>30</v>
      </c>
      <c r="B281">
        <v>2020</v>
      </c>
      <c r="C281" t="s">
        <v>44</v>
      </c>
      <c r="D281" s="31" t="str">
        <f t="shared" si="4"/>
        <v>2020-November</v>
      </c>
      <c r="E281" s="1">
        <v>2082.4</v>
      </c>
      <c r="F281" s="1">
        <v>491.5</v>
      </c>
      <c r="G281" s="1">
        <v>462.8</v>
      </c>
      <c r="H281" s="1">
        <v>472.4</v>
      </c>
      <c r="I281" s="1">
        <v>293.60000000000002</v>
      </c>
      <c r="J281" s="1">
        <v>316.60000000000002</v>
      </c>
    </row>
    <row r="282" spans="1:10" hidden="1">
      <c r="A282" t="s">
        <v>32</v>
      </c>
      <c r="B282">
        <v>2020</v>
      </c>
      <c r="C282" t="s">
        <v>44</v>
      </c>
      <c r="D282" s="31" t="str">
        <f t="shared" si="4"/>
        <v>2020-November</v>
      </c>
      <c r="E282" s="1">
        <v>2120.6999999999998</v>
      </c>
      <c r="F282" s="1">
        <v>479.80000000000007</v>
      </c>
      <c r="G282" s="1">
        <v>436.3</v>
      </c>
      <c r="H282" s="1">
        <v>459.5</v>
      </c>
      <c r="I282" s="1">
        <v>272.5</v>
      </c>
      <c r="J282" s="1">
        <v>309.89999999999998</v>
      </c>
    </row>
    <row r="283" spans="1:10">
      <c r="A283" t="s">
        <v>33</v>
      </c>
      <c r="B283">
        <v>2020</v>
      </c>
      <c r="C283" t="s">
        <v>44</v>
      </c>
      <c r="D283" s="31" t="str">
        <f t="shared" si="4"/>
        <v>2020-November</v>
      </c>
      <c r="E283" s="1">
        <v>2095.6</v>
      </c>
      <c r="F283" s="1">
        <v>483.90000000000003</v>
      </c>
      <c r="G283" s="1">
        <v>452.00000000000006</v>
      </c>
      <c r="H283" s="1">
        <v>465.79999999999995</v>
      </c>
      <c r="I283" s="1">
        <v>284</v>
      </c>
      <c r="J283" s="1">
        <v>314.10000000000002</v>
      </c>
    </row>
    <row r="284" spans="1:10" hidden="1">
      <c r="A284" t="s">
        <v>30</v>
      </c>
      <c r="B284">
        <v>2020</v>
      </c>
      <c r="C284" t="s">
        <v>45</v>
      </c>
      <c r="D284" s="31" t="str">
        <f t="shared" si="4"/>
        <v>2020-December</v>
      </c>
      <c r="E284" s="1">
        <v>2100.5</v>
      </c>
      <c r="F284" s="1">
        <v>492.7</v>
      </c>
      <c r="G284" s="1">
        <v>464.90000000000003</v>
      </c>
      <c r="H284" s="1">
        <v>474.70000000000005</v>
      </c>
      <c r="I284" s="1">
        <v>295.10000000000002</v>
      </c>
      <c r="J284" s="1">
        <v>318.2</v>
      </c>
    </row>
    <row r="285" spans="1:10" hidden="1">
      <c r="A285" t="s">
        <v>32</v>
      </c>
      <c r="B285">
        <v>2020</v>
      </c>
      <c r="C285" t="s">
        <v>45</v>
      </c>
      <c r="D285" s="31" t="str">
        <f t="shared" si="4"/>
        <v>2020-December</v>
      </c>
      <c r="E285" s="1">
        <v>2125.4</v>
      </c>
      <c r="F285" s="1">
        <v>481.4</v>
      </c>
      <c r="G285" s="1">
        <v>438.20000000000005</v>
      </c>
      <c r="H285" s="1">
        <v>460.79999999999995</v>
      </c>
      <c r="I285" s="1">
        <v>273.39999999999998</v>
      </c>
      <c r="J285" s="1">
        <v>310.8</v>
      </c>
    </row>
    <row r="286" spans="1:10">
      <c r="A286" t="s">
        <v>33</v>
      </c>
      <c r="B286">
        <v>2020</v>
      </c>
      <c r="C286" t="s">
        <v>45</v>
      </c>
      <c r="D286" s="31" t="str">
        <f t="shared" si="4"/>
        <v>2020-December</v>
      </c>
      <c r="E286" s="1">
        <v>2109.1</v>
      </c>
      <c r="F286" s="1">
        <v>485.09999999999997</v>
      </c>
      <c r="G286" s="1">
        <v>454</v>
      </c>
      <c r="H286" s="1">
        <v>467.5</v>
      </c>
      <c r="I286" s="1">
        <v>285.29999999999995</v>
      </c>
      <c r="J286" s="1">
        <v>315.39999999999998</v>
      </c>
    </row>
    <row r="287" spans="1:10" hidden="1">
      <c r="A287" t="s">
        <v>30</v>
      </c>
      <c r="B287">
        <v>2021</v>
      </c>
      <c r="C287" t="s">
        <v>31</v>
      </c>
      <c r="D287" s="31" t="str">
        <f t="shared" si="4"/>
        <v>2021-January</v>
      </c>
      <c r="E287" s="1">
        <v>2065.6999999999998</v>
      </c>
      <c r="F287" s="1">
        <v>495.6</v>
      </c>
      <c r="G287" s="1">
        <v>466.7</v>
      </c>
      <c r="H287" s="1">
        <v>475.1</v>
      </c>
      <c r="I287" s="1">
        <v>298.39999999999998</v>
      </c>
      <c r="J287" s="1">
        <v>318.7</v>
      </c>
    </row>
    <row r="288" spans="1:10" hidden="1">
      <c r="A288" t="s">
        <v>32</v>
      </c>
      <c r="B288">
        <v>2021</v>
      </c>
      <c r="C288" t="s">
        <v>31</v>
      </c>
      <c r="D288" s="31" t="str">
        <f t="shared" si="4"/>
        <v>2021-January</v>
      </c>
      <c r="E288" s="1">
        <v>2097</v>
      </c>
      <c r="F288" s="1">
        <v>484.80000000000007</v>
      </c>
      <c r="G288" s="1">
        <v>440</v>
      </c>
      <c r="H288" s="1">
        <v>459.5</v>
      </c>
      <c r="I288" s="1">
        <v>279.8</v>
      </c>
      <c r="J288" s="1">
        <v>311.79999999999995</v>
      </c>
    </row>
    <row r="289" spans="1:10">
      <c r="A289" t="s">
        <v>33</v>
      </c>
      <c r="B289">
        <v>2021</v>
      </c>
      <c r="C289" t="s">
        <v>31</v>
      </c>
      <c r="D289" s="31" t="str">
        <f t="shared" si="4"/>
        <v>2021-January</v>
      </c>
      <c r="E289" s="1">
        <v>2076.5</v>
      </c>
      <c r="F289" s="1">
        <v>488</v>
      </c>
      <c r="G289" s="1">
        <v>455.8</v>
      </c>
      <c r="H289" s="1">
        <v>466.9</v>
      </c>
      <c r="I289" s="1">
        <v>289.8</v>
      </c>
      <c r="J289" s="1">
        <v>316.10000000000002</v>
      </c>
    </row>
    <row r="290" spans="1:10" hidden="1">
      <c r="A290" t="s">
        <v>30</v>
      </c>
      <c r="B290">
        <v>2021</v>
      </c>
      <c r="C290" t="s">
        <v>34</v>
      </c>
      <c r="D290" s="31" t="str">
        <f t="shared" si="4"/>
        <v>2021-February</v>
      </c>
      <c r="E290" s="1">
        <v>2025.3</v>
      </c>
      <c r="F290" s="1">
        <v>500.7</v>
      </c>
      <c r="G290" s="1">
        <v>471.4</v>
      </c>
      <c r="H290" s="1">
        <v>478.20000000000005</v>
      </c>
      <c r="I290" s="1">
        <v>304.60000000000002</v>
      </c>
      <c r="J290" s="1">
        <v>319.5</v>
      </c>
    </row>
    <row r="291" spans="1:10" hidden="1">
      <c r="A291" t="s">
        <v>32</v>
      </c>
      <c r="B291">
        <v>2021</v>
      </c>
      <c r="C291" t="s">
        <v>34</v>
      </c>
      <c r="D291" s="31" t="str">
        <f t="shared" si="4"/>
        <v>2021-February</v>
      </c>
      <c r="E291" s="1">
        <v>2066</v>
      </c>
      <c r="F291" s="1">
        <v>489.90000000000003</v>
      </c>
      <c r="G291" s="1">
        <v>444.2</v>
      </c>
      <c r="H291" s="1">
        <v>462.9</v>
      </c>
      <c r="I291" s="1">
        <v>289.60000000000002</v>
      </c>
      <c r="J291" s="1">
        <v>313</v>
      </c>
    </row>
    <row r="292" spans="1:10">
      <c r="A292" t="s">
        <v>33</v>
      </c>
      <c r="B292">
        <v>2021</v>
      </c>
      <c r="C292" t="s">
        <v>34</v>
      </c>
      <c r="D292" s="31" t="str">
        <f t="shared" si="4"/>
        <v>2021-February</v>
      </c>
      <c r="E292" s="1">
        <v>2039.3000000000002</v>
      </c>
      <c r="F292" s="1">
        <v>493.20000000000005</v>
      </c>
      <c r="G292" s="1">
        <v>460.40000000000003</v>
      </c>
      <c r="H292" s="1">
        <v>470.20000000000005</v>
      </c>
      <c r="I292" s="1">
        <v>297.5</v>
      </c>
      <c r="J292" s="1">
        <v>317.10000000000002</v>
      </c>
    </row>
    <row r="293" spans="1:10" hidden="1">
      <c r="A293" t="s">
        <v>30</v>
      </c>
      <c r="B293">
        <v>2021</v>
      </c>
      <c r="C293" t="s">
        <v>35</v>
      </c>
      <c r="D293" s="31" t="str">
        <f t="shared" si="4"/>
        <v>2021-March</v>
      </c>
      <c r="E293" s="1">
        <v>2025.7</v>
      </c>
      <c r="F293" s="1">
        <v>501.2</v>
      </c>
      <c r="G293" s="1">
        <v>472.9</v>
      </c>
      <c r="H293" s="1">
        <v>478.50000000000006</v>
      </c>
      <c r="I293" s="1">
        <v>307.3</v>
      </c>
      <c r="J293" s="1">
        <v>317.7</v>
      </c>
    </row>
    <row r="294" spans="1:10" hidden="1">
      <c r="A294" t="s">
        <v>32</v>
      </c>
      <c r="B294">
        <v>2021</v>
      </c>
      <c r="C294" t="s">
        <v>35</v>
      </c>
      <c r="D294" s="31" t="str">
        <f t="shared" si="4"/>
        <v>2021-March</v>
      </c>
      <c r="E294" s="1">
        <v>2064.4999999999995</v>
      </c>
      <c r="F294" s="1">
        <v>492.1</v>
      </c>
      <c r="G294" s="1">
        <v>446.4</v>
      </c>
      <c r="H294" s="1">
        <v>464.70000000000005</v>
      </c>
      <c r="I294" s="1">
        <v>296.5</v>
      </c>
      <c r="J294" s="1">
        <v>311.8</v>
      </c>
    </row>
    <row r="295" spans="1:10">
      <c r="A295" t="s">
        <v>33</v>
      </c>
      <c r="B295">
        <v>2021</v>
      </c>
      <c r="C295" t="s">
        <v>35</v>
      </c>
      <c r="D295" s="31" t="str">
        <f t="shared" si="4"/>
        <v>2021-March</v>
      </c>
      <c r="E295" s="1">
        <v>2039.3999999999999</v>
      </c>
      <c r="F295" s="1">
        <v>494.5</v>
      </c>
      <c r="G295" s="1">
        <v>462.1</v>
      </c>
      <c r="H295" s="1">
        <v>471.3</v>
      </c>
      <c r="I295" s="1">
        <v>301.7</v>
      </c>
      <c r="J295" s="1">
        <v>315.5</v>
      </c>
    </row>
    <row r="296" spans="1:10" hidden="1">
      <c r="A296" t="s">
        <v>30</v>
      </c>
      <c r="B296">
        <v>2021</v>
      </c>
      <c r="C296" t="s">
        <v>36</v>
      </c>
      <c r="D296" s="31" t="str">
        <f t="shared" si="4"/>
        <v>2021-April</v>
      </c>
      <c r="E296" s="1">
        <v>2049.5</v>
      </c>
      <c r="F296" s="1">
        <v>503.4</v>
      </c>
      <c r="G296" s="1">
        <v>475.69999999999993</v>
      </c>
      <c r="H296" s="1">
        <v>481</v>
      </c>
      <c r="I296" s="1">
        <v>307.7</v>
      </c>
      <c r="J296" s="1">
        <v>319.89999999999998</v>
      </c>
    </row>
    <row r="297" spans="1:10" hidden="1">
      <c r="A297" t="s">
        <v>32</v>
      </c>
      <c r="B297">
        <v>2021</v>
      </c>
      <c r="C297" t="s">
        <v>36</v>
      </c>
      <c r="D297" s="31" t="str">
        <f t="shared" si="4"/>
        <v>2021-April</v>
      </c>
      <c r="E297" s="1">
        <v>2089.6</v>
      </c>
      <c r="F297" s="1">
        <v>494</v>
      </c>
      <c r="G297" s="1">
        <v>448.6</v>
      </c>
      <c r="H297" s="1">
        <v>466.6</v>
      </c>
      <c r="I297" s="1">
        <v>297</v>
      </c>
      <c r="J297" s="1">
        <v>314.10000000000002</v>
      </c>
    </row>
    <row r="298" spans="1:10">
      <c r="A298" t="s">
        <v>33</v>
      </c>
      <c r="B298">
        <v>2021</v>
      </c>
      <c r="C298" t="s">
        <v>36</v>
      </c>
      <c r="D298" s="31" t="str">
        <f t="shared" si="4"/>
        <v>2021-April</v>
      </c>
      <c r="E298" s="1">
        <v>2064.1</v>
      </c>
      <c r="F298" s="1">
        <v>496.4</v>
      </c>
      <c r="G298" s="1">
        <v>464.6</v>
      </c>
      <c r="H298" s="1">
        <v>473.50000000000006</v>
      </c>
      <c r="I298" s="1">
        <v>302.2</v>
      </c>
      <c r="J298" s="1">
        <v>317.70000000000005</v>
      </c>
    </row>
    <row r="299" spans="1:10" hidden="1">
      <c r="A299" t="s">
        <v>30</v>
      </c>
      <c r="B299">
        <v>2021</v>
      </c>
      <c r="C299" t="s">
        <v>37</v>
      </c>
      <c r="D299" s="31" t="str">
        <f t="shared" si="4"/>
        <v>2021-May</v>
      </c>
      <c r="E299" s="1">
        <v>2095.2999999999997</v>
      </c>
      <c r="F299" s="1">
        <v>510.70000000000005</v>
      </c>
      <c r="G299" s="1">
        <v>490.4</v>
      </c>
      <c r="H299" s="1">
        <v>488</v>
      </c>
      <c r="I299" s="1">
        <v>314.89999999999998</v>
      </c>
      <c r="J299" s="1">
        <v>328.4</v>
      </c>
    </row>
    <row r="300" spans="1:10" hidden="1">
      <c r="A300" t="s">
        <v>32</v>
      </c>
      <c r="B300">
        <v>2021</v>
      </c>
      <c r="C300" t="s">
        <v>37</v>
      </c>
      <c r="D300" s="31" t="str">
        <f t="shared" si="4"/>
        <v>2021-May</v>
      </c>
      <c r="E300" s="1">
        <v>2124.7000000000003</v>
      </c>
      <c r="F300" s="1">
        <v>503.09999999999997</v>
      </c>
      <c r="G300" s="1">
        <v>450.79999999999995</v>
      </c>
      <c r="H300" s="1">
        <v>468.29999999999995</v>
      </c>
      <c r="I300" s="1">
        <v>300.5</v>
      </c>
      <c r="J300" s="1">
        <v>317.89999999999998</v>
      </c>
    </row>
    <row r="301" spans="1:10">
      <c r="A301" t="s">
        <v>33</v>
      </c>
      <c r="B301">
        <v>2021</v>
      </c>
      <c r="C301" t="s">
        <v>37</v>
      </c>
      <c r="D301" s="31" t="str">
        <f t="shared" si="4"/>
        <v>2021-May</v>
      </c>
      <c r="E301" s="1">
        <v>2105.7000000000003</v>
      </c>
      <c r="F301" s="1">
        <v>504.50000000000006</v>
      </c>
      <c r="G301" s="1">
        <v>474.29999999999995</v>
      </c>
      <c r="H301" s="1">
        <v>477.49999999999994</v>
      </c>
      <c r="I301" s="1">
        <v>308.3</v>
      </c>
      <c r="J301" s="1">
        <v>324.39999999999998</v>
      </c>
    </row>
    <row r="302" spans="1:10" hidden="1">
      <c r="A302" t="s">
        <v>30</v>
      </c>
      <c r="B302">
        <v>2021</v>
      </c>
      <c r="C302" t="s">
        <v>38</v>
      </c>
      <c r="D302" s="31" t="str">
        <f t="shared" si="4"/>
        <v>2021-June</v>
      </c>
      <c r="E302" s="1">
        <v>2122.6</v>
      </c>
      <c r="F302" s="1">
        <v>511</v>
      </c>
      <c r="G302" s="1">
        <v>489.80000000000007</v>
      </c>
      <c r="H302" s="1">
        <v>486.5</v>
      </c>
      <c r="I302" s="1">
        <v>316.29999999999995</v>
      </c>
      <c r="J302" s="1">
        <v>329.1</v>
      </c>
    </row>
    <row r="303" spans="1:10" hidden="1">
      <c r="A303" t="s">
        <v>32</v>
      </c>
      <c r="B303">
        <v>2021</v>
      </c>
      <c r="C303" t="s">
        <v>38</v>
      </c>
      <c r="D303" s="31" t="str">
        <f t="shared" si="4"/>
        <v>2021-June</v>
      </c>
      <c r="E303" s="1">
        <v>2154.1999999999998</v>
      </c>
      <c r="F303" s="1">
        <v>499.69999999999993</v>
      </c>
      <c r="G303" s="1">
        <v>452.6</v>
      </c>
      <c r="H303" s="1">
        <v>468.4</v>
      </c>
      <c r="I303" s="1">
        <v>303.60000000000002</v>
      </c>
      <c r="J303" s="1">
        <v>318.8</v>
      </c>
    </row>
    <row r="304" spans="1:10">
      <c r="A304" t="s">
        <v>33</v>
      </c>
      <c r="B304">
        <v>2021</v>
      </c>
      <c r="C304" t="s">
        <v>38</v>
      </c>
      <c r="D304" s="31" t="str">
        <f t="shared" si="4"/>
        <v>2021-June</v>
      </c>
      <c r="E304" s="1">
        <v>2133.9</v>
      </c>
      <c r="F304" s="1">
        <v>503.30000000000007</v>
      </c>
      <c r="G304" s="1">
        <v>474.7</v>
      </c>
      <c r="H304" s="1">
        <v>477</v>
      </c>
      <c r="I304" s="1">
        <v>310.5</v>
      </c>
      <c r="J304" s="1">
        <v>325.10000000000002</v>
      </c>
    </row>
    <row r="305" spans="1:10" hidden="1">
      <c r="A305" t="s">
        <v>30</v>
      </c>
      <c r="B305">
        <v>2021</v>
      </c>
      <c r="C305" t="s">
        <v>39</v>
      </c>
      <c r="D305" s="31" t="str">
        <f t="shared" si="4"/>
        <v>2021-July</v>
      </c>
      <c r="E305" s="1">
        <v>2132.4</v>
      </c>
      <c r="F305" s="1">
        <v>513.20000000000005</v>
      </c>
      <c r="G305" s="1">
        <v>492.40000000000003</v>
      </c>
      <c r="H305" s="1">
        <v>489</v>
      </c>
      <c r="I305" s="1">
        <v>319.60000000000002</v>
      </c>
      <c r="J305" s="1">
        <v>330.8</v>
      </c>
    </row>
    <row r="306" spans="1:10" hidden="1">
      <c r="A306" t="s">
        <v>32</v>
      </c>
      <c r="B306">
        <v>2021</v>
      </c>
      <c r="C306" t="s">
        <v>39</v>
      </c>
      <c r="D306" s="31" t="str">
        <f t="shared" si="4"/>
        <v>2021-July</v>
      </c>
      <c r="E306" s="1">
        <v>2171.8000000000002</v>
      </c>
      <c r="F306" s="1">
        <v>501.7</v>
      </c>
      <c r="G306" s="1">
        <v>455.3</v>
      </c>
      <c r="H306" s="1">
        <v>472.5</v>
      </c>
      <c r="I306" s="1">
        <v>307.2</v>
      </c>
      <c r="J306" s="1">
        <v>321.10000000000002</v>
      </c>
    </row>
    <row r="307" spans="1:10">
      <c r="A307" t="s">
        <v>33</v>
      </c>
      <c r="B307">
        <v>2021</v>
      </c>
      <c r="C307" t="s">
        <v>39</v>
      </c>
      <c r="D307" s="31" t="str">
        <f t="shared" si="4"/>
        <v>2021-July</v>
      </c>
      <c r="E307" s="1">
        <v>2147</v>
      </c>
      <c r="F307" s="1">
        <v>505.5</v>
      </c>
      <c r="G307" s="1">
        <v>477.29999999999995</v>
      </c>
      <c r="H307" s="1">
        <v>480.5</v>
      </c>
      <c r="I307" s="1">
        <v>313.79999999999995</v>
      </c>
      <c r="J307" s="1">
        <v>327.10000000000002</v>
      </c>
    </row>
    <row r="308" spans="1:10" hidden="1">
      <c r="A308" t="s">
        <v>30</v>
      </c>
      <c r="B308">
        <v>2021</v>
      </c>
      <c r="C308" t="s">
        <v>40</v>
      </c>
      <c r="D308" s="31" t="str">
        <f t="shared" si="4"/>
        <v>2021-August</v>
      </c>
      <c r="E308" s="1">
        <v>2130.8000000000002</v>
      </c>
      <c r="F308" s="1">
        <v>514.59999999999991</v>
      </c>
      <c r="G308" s="1">
        <v>495.90000000000003</v>
      </c>
      <c r="H308" s="1">
        <v>490.5</v>
      </c>
      <c r="I308" s="1">
        <v>320.79999999999995</v>
      </c>
      <c r="J308" s="1">
        <v>331.4</v>
      </c>
    </row>
    <row r="309" spans="1:10" hidden="1">
      <c r="A309" t="s">
        <v>32</v>
      </c>
      <c r="B309">
        <v>2021</v>
      </c>
      <c r="C309" t="s">
        <v>40</v>
      </c>
      <c r="D309" s="31" t="str">
        <f t="shared" si="4"/>
        <v>2021-August</v>
      </c>
      <c r="E309" s="1">
        <v>2157.9</v>
      </c>
      <c r="F309" s="1">
        <v>506.2</v>
      </c>
      <c r="G309" s="1">
        <v>460.7</v>
      </c>
      <c r="H309" s="1">
        <v>475.69999999999993</v>
      </c>
      <c r="I309" s="1">
        <v>311.10000000000002</v>
      </c>
      <c r="J309" s="1">
        <v>322.39999999999998</v>
      </c>
    </row>
    <row r="310" spans="1:10">
      <c r="A310" t="s">
        <v>33</v>
      </c>
      <c r="B310">
        <v>2021</v>
      </c>
      <c r="C310" t="s">
        <v>40</v>
      </c>
      <c r="D310" s="31" t="str">
        <f t="shared" si="4"/>
        <v>2021-August</v>
      </c>
      <c r="E310" s="1">
        <v>2142</v>
      </c>
      <c r="F310" s="1">
        <v>509.7</v>
      </c>
      <c r="G310" s="1">
        <v>483</v>
      </c>
      <c r="H310" s="1">
        <v>483.40000000000003</v>
      </c>
      <c r="I310" s="1">
        <v>316.60000000000002</v>
      </c>
      <c r="J310" s="1">
        <v>328.4</v>
      </c>
    </row>
    <row r="311" spans="1:10" hidden="1">
      <c r="A311" t="s">
        <v>30</v>
      </c>
      <c r="B311">
        <v>2021</v>
      </c>
      <c r="C311" t="s">
        <v>41</v>
      </c>
      <c r="D311" s="31" t="str">
        <f t="shared" si="4"/>
        <v>2021-September</v>
      </c>
      <c r="E311" s="1">
        <v>2133.6</v>
      </c>
      <c r="F311" s="1">
        <v>517</v>
      </c>
      <c r="G311" s="1">
        <v>498.4</v>
      </c>
      <c r="H311" s="1">
        <v>491.9</v>
      </c>
      <c r="I311" s="1">
        <v>321.5</v>
      </c>
      <c r="J311" s="1">
        <v>332.1</v>
      </c>
    </row>
    <row r="312" spans="1:10" hidden="1">
      <c r="A312" t="s">
        <v>32</v>
      </c>
      <c r="B312">
        <v>2021</v>
      </c>
      <c r="C312" t="s">
        <v>41</v>
      </c>
      <c r="D312" s="31" t="str">
        <f t="shared" si="4"/>
        <v>2021-September</v>
      </c>
      <c r="E312" s="1">
        <v>2157.9</v>
      </c>
      <c r="F312" s="1">
        <v>506.4</v>
      </c>
      <c r="G312" s="1">
        <v>460.79999999999995</v>
      </c>
      <c r="H312" s="1">
        <v>475.7</v>
      </c>
      <c r="I312" s="1">
        <v>311.3</v>
      </c>
      <c r="J312" s="1">
        <v>322.39999999999998</v>
      </c>
    </row>
    <row r="313" spans="1:10">
      <c r="A313" t="s">
        <v>33</v>
      </c>
      <c r="B313">
        <v>2021</v>
      </c>
      <c r="C313" t="s">
        <v>41</v>
      </c>
      <c r="D313" s="31" t="str">
        <f t="shared" si="4"/>
        <v>2021-September</v>
      </c>
      <c r="E313" s="1">
        <v>2142</v>
      </c>
      <c r="F313" s="1">
        <v>509.79999999999995</v>
      </c>
      <c r="G313" s="1">
        <v>483.2</v>
      </c>
      <c r="H313" s="1">
        <v>483.3</v>
      </c>
      <c r="I313" s="1">
        <v>316.60000000000002</v>
      </c>
      <c r="J313" s="1">
        <v>328.4</v>
      </c>
    </row>
    <row r="314" spans="1:10" hidden="1">
      <c r="A314" t="s">
        <v>30</v>
      </c>
      <c r="B314">
        <v>2021</v>
      </c>
      <c r="C314" t="s">
        <v>42</v>
      </c>
      <c r="D314" s="31" t="str">
        <f t="shared" si="4"/>
        <v>2021-October</v>
      </c>
      <c r="E314" s="1">
        <v>2164.1999999999998</v>
      </c>
      <c r="F314" s="1">
        <v>519.09999999999991</v>
      </c>
      <c r="G314" s="1">
        <v>502.00000000000006</v>
      </c>
      <c r="H314" s="1">
        <v>494.6</v>
      </c>
      <c r="I314" s="1">
        <v>325</v>
      </c>
      <c r="J314" s="1">
        <v>333.6</v>
      </c>
    </row>
    <row r="315" spans="1:10" hidden="1">
      <c r="A315" t="s">
        <v>32</v>
      </c>
      <c r="B315">
        <v>2021</v>
      </c>
      <c r="C315" t="s">
        <v>42</v>
      </c>
      <c r="D315" s="31" t="str">
        <f t="shared" si="4"/>
        <v>2021-October</v>
      </c>
      <c r="E315" s="1">
        <v>2198.4000000000005</v>
      </c>
      <c r="F315" s="1">
        <v>509.1</v>
      </c>
      <c r="G315" s="1">
        <v>463.50000000000006</v>
      </c>
      <c r="H315" s="1">
        <v>478.2</v>
      </c>
      <c r="I315" s="1">
        <v>314.39999999999998</v>
      </c>
      <c r="J315" s="1">
        <v>323.8</v>
      </c>
    </row>
    <row r="316" spans="1:10">
      <c r="A316" t="s">
        <v>33</v>
      </c>
      <c r="B316">
        <v>2021</v>
      </c>
      <c r="C316" t="s">
        <v>42</v>
      </c>
      <c r="D316" s="31" t="str">
        <f t="shared" si="4"/>
        <v>2021-October</v>
      </c>
      <c r="E316" s="1">
        <v>2175.5</v>
      </c>
      <c r="F316" s="1">
        <v>512.29999999999995</v>
      </c>
      <c r="G316" s="1">
        <v>486.3</v>
      </c>
      <c r="H316" s="1">
        <v>485.9</v>
      </c>
      <c r="I316" s="1">
        <v>319.89999999999998</v>
      </c>
      <c r="J316" s="1">
        <v>329.9</v>
      </c>
    </row>
    <row r="317" spans="1:10" hidden="1">
      <c r="A317" t="s">
        <v>30</v>
      </c>
      <c r="B317">
        <v>2021</v>
      </c>
      <c r="C317" t="s">
        <v>44</v>
      </c>
      <c r="D317" s="31" t="str">
        <f t="shared" si="4"/>
        <v>2021-November</v>
      </c>
      <c r="E317" s="1">
        <v>2182</v>
      </c>
      <c r="F317" s="1">
        <v>520.40000000000009</v>
      </c>
      <c r="G317" s="1">
        <v>506.2</v>
      </c>
      <c r="H317" s="1">
        <v>496.40000000000003</v>
      </c>
      <c r="I317" s="1">
        <v>324.20000000000005</v>
      </c>
      <c r="J317" s="1">
        <v>335.8</v>
      </c>
    </row>
    <row r="318" spans="1:10" hidden="1">
      <c r="A318" t="s">
        <v>32</v>
      </c>
      <c r="B318">
        <v>2021</v>
      </c>
      <c r="C318" t="s">
        <v>44</v>
      </c>
      <c r="D318" s="31" t="str">
        <f t="shared" si="4"/>
        <v>2021-November</v>
      </c>
      <c r="E318" s="1">
        <v>2217.8999999999996</v>
      </c>
      <c r="F318" s="1">
        <v>511</v>
      </c>
      <c r="G318" s="1">
        <v>467.3</v>
      </c>
      <c r="H318" s="1">
        <v>480.2</v>
      </c>
      <c r="I318" s="1">
        <v>312.79999999999995</v>
      </c>
      <c r="J318" s="1">
        <v>326</v>
      </c>
    </row>
    <row r="319" spans="1:10">
      <c r="A319" t="s">
        <v>33</v>
      </c>
      <c r="B319">
        <v>2021</v>
      </c>
      <c r="C319" t="s">
        <v>44</v>
      </c>
      <c r="D319" s="31" t="str">
        <f t="shared" si="4"/>
        <v>2021-November</v>
      </c>
      <c r="E319" s="1">
        <v>2194.1</v>
      </c>
      <c r="F319" s="1">
        <v>514.1</v>
      </c>
      <c r="G319" s="1">
        <v>490.40000000000003</v>
      </c>
      <c r="H319" s="1">
        <v>487.8</v>
      </c>
      <c r="I319" s="1">
        <v>318.70000000000005</v>
      </c>
      <c r="J319" s="1">
        <v>332.1</v>
      </c>
    </row>
    <row r="320" spans="1:10" hidden="1">
      <c r="A320" t="s">
        <v>30</v>
      </c>
      <c r="B320">
        <v>2021</v>
      </c>
      <c r="C320" t="s">
        <v>45</v>
      </c>
      <c r="D320" s="31" t="str">
        <f t="shared" si="4"/>
        <v>2021-December</v>
      </c>
      <c r="E320" s="1">
        <v>2168.1999999999998</v>
      </c>
      <c r="F320" s="1">
        <v>521.29999999999995</v>
      </c>
      <c r="G320" s="1">
        <v>510.3</v>
      </c>
      <c r="H320" s="1">
        <v>497</v>
      </c>
      <c r="I320" s="1">
        <v>325.7</v>
      </c>
      <c r="J320" s="1">
        <v>336.8</v>
      </c>
    </row>
    <row r="321" spans="1:10" hidden="1">
      <c r="A321" t="s">
        <v>32</v>
      </c>
      <c r="B321">
        <v>2021</v>
      </c>
      <c r="C321" t="s">
        <v>45</v>
      </c>
      <c r="D321" s="31" t="str">
        <f t="shared" si="4"/>
        <v>2021-December</v>
      </c>
      <c r="E321" s="1">
        <v>2206.3000000000002</v>
      </c>
      <c r="F321" s="1">
        <v>512.20000000000005</v>
      </c>
      <c r="G321" s="1">
        <v>470.7</v>
      </c>
      <c r="H321" s="1">
        <v>480</v>
      </c>
      <c r="I321" s="1">
        <v>313.5</v>
      </c>
      <c r="J321" s="1">
        <v>327.5</v>
      </c>
    </row>
    <row r="322" spans="1:10">
      <c r="A322" t="s">
        <v>33</v>
      </c>
      <c r="B322">
        <v>2021</v>
      </c>
      <c r="C322" t="s">
        <v>45</v>
      </c>
      <c r="D322" s="31" t="str">
        <f t="shared" si="4"/>
        <v>2021-December</v>
      </c>
      <c r="E322" s="1">
        <v>2180.9</v>
      </c>
      <c r="F322" s="1">
        <v>515</v>
      </c>
      <c r="G322" s="1">
        <v>494.2</v>
      </c>
      <c r="H322" s="1">
        <v>488</v>
      </c>
      <c r="I322" s="1">
        <v>319.79999999999995</v>
      </c>
      <c r="J322" s="1">
        <v>333.2</v>
      </c>
    </row>
    <row r="323" spans="1:10" hidden="1">
      <c r="A323" t="s">
        <v>30</v>
      </c>
      <c r="B323">
        <v>2022</v>
      </c>
      <c r="C323" t="s">
        <v>31</v>
      </c>
      <c r="D323" s="31" t="str">
        <f t="shared" ref="D323:D373" si="5">CONCATENATE(B323,"-",C323)</f>
        <v>2022-January</v>
      </c>
      <c r="E323" s="1">
        <v>2153</v>
      </c>
      <c r="F323" s="1">
        <v>522.20000000000005</v>
      </c>
      <c r="G323" s="1">
        <v>515.20000000000005</v>
      </c>
      <c r="H323" s="1">
        <v>499.29999999999995</v>
      </c>
      <c r="I323" s="1">
        <v>326.60000000000002</v>
      </c>
      <c r="J323" s="1">
        <v>337.9</v>
      </c>
    </row>
    <row r="324" spans="1:10" hidden="1">
      <c r="A324" t="s">
        <v>32</v>
      </c>
      <c r="B324">
        <v>2022</v>
      </c>
      <c r="C324" t="s">
        <v>31</v>
      </c>
      <c r="D324" s="31" t="str">
        <f t="shared" si="5"/>
        <v>2022-January</v>
      </c>
      <c r="E324" s="1">
        <v>2186.6999999999998</v>
      </c>
      <c r="F324" s="1">
        <v>513.4</v>
      </c>
      <c r="G324" s="1">
        <v>475.4</v>
      </c>
      <c r="H324" s="1">
        <v>482.3</v>
      </c>
      <c r="I324" s="1">
        <v>314.29999999999995</v>
      </c>
      <c r="J324" s="1">
        <v>328.9</v>
      </c>
    </row>
    <row r="325" spans="1:10">
      <c r="A325" t="s">
        <v>33</v>
      </c>
      <c r="B325">
        <v>2022</v>
      </c>
      <c r="C325" t="s">
        <v>31</v>
      </c>
      <c r="D325" s="31" t="str">
        <f t="shared" si="5"/>
        <v>2022-January</v>
      </c>
      <c r="E325" s="1">
        <v>2164.1999999999998</v>
      </c>
      <c r="F325" s="1">
        <v>516.09999999999991</v>
      </c>
      <c r="G325" s="1">
        <v>499.1</v>
      </c>
      <c r="H325" s="1">
        <v>490.3</v>
      </c>
      <c r="I325" s="1">
        <v>320.7</v>
      </c>
      <c r="J325" s="1">
        <v>334.4</v>
      </c>
    </row>
    <row r="326" spans="1:10" hidden="1">
      <c r="A326" t="s">
        <v>30</v>
      </c>
      <c r="B326">
        <v>2022</v>
      </c>
      <c r="C326" t="s">
        <v>34</v>
      </c>
      <c r="D326" s="31" t="str">
        <f t="shared" si="5"/>
        <v>2022-February</v>
      </c>
      <c r="E326" s="1">
        <v>2150.4</v>
      </c>
      <c r="F326" s="1">
        <v>524.29999999999995</v>
      </c>
      <c r="G326" s="1">
        <v>518.79999999999995</v>
      </c>
      <c r="H326" s="1">
        <v>501.5</v>
      </c>
      <c r="I326" s="1">
        <v>328.6</v>
      </c>
      <c r="J326" s="1">
        <v>339.8</v>
      </c>
    </row>
    <row r="327" spans="1:10" hidden="1">
      <c r="A327" t="s">
        <v>32</v>
      </c>
      <c r="B327">
        <v>2022</v>
      </c>
      <c r="C327" t="s">
        <v>34</v>
      </c>
      <c r="D327" s="31" t="str">
        <f t="shared" si="5"/>
        <v>2022-February</v>
      </c>
      <c r="E327" s="1">
        <v>2183.5</v>
      </c>
      <c r="F327" s="1">
        <v>515.4</v>
      </c>
      <c r="G327" s="1">
        <v>479.5</v>
      </c>
      <c r="H327" s="1">
        <v>484.9</v>
      </c>
      <c r="I327" s="1">
        <v>316.10000000000002</v>
      </c>
      <c r="J327" s="1">
        <v>331.4</v>
      </c>
    </row>
    <row r="328" spans="1:10">
      <c r="A328" t="s">
        <v>33</v>
      </c>
      <c r="B328">
        <v>2022</v>
      </c>
      <c r="C328" t="s">
        <v>34</v>
      </c>
      <c r="D328" s="31" t="str">
        <f t="shared" si="5"/>
        <v>2022-February</v>
      </c>
      <c r="E328" s="1">
        <v>2161.2000000000003</v>
      </c>
      <c r="F328" s="1">
        <v>518.4</v>
      </c>
      <c r="G328" s="1">
        <v>502.80000000000007</v>
      </c>
      <c r="H328" s="1">
        <v>492.70000000000005</v>
      </c>
      <c r="I328" s="1">
        <v>322.60000000000002</v>
      </c>
      <c r="J328" s="1">
        <v>336.6</v>
      </c>
    </row>
    <row r="329" spans="1:10" hidden="1">
      <c r="A329" t="s">
        <v>30</v>
      </c>
      <c r="B329">
        <v>2022</v>
      </c>
      <c r="C329" t="s">
        <v>35</v>
      </c>
      <c r="D329" s="31" t="str">
        <f t="shared" si="5"/>
        <v>2022-March</v>
      </c>
      <c r="E329" s="1">
        <v>2179.1000000000004</v>
      </c>
      <c r="F329" s="1">
        <v>527.20000000000005</v>
      </c>
      <c r="G329" s="1">
        <v>523.70000000000005</v>
      </c>
      <c r="H329" s="1">
        <v>502.4</v>
      </c>
      <c r="I329" s="1">
        <v>330.9</v>
      </c>
      <c r="J329" s="1">
        <v>343.4</v>
      </c>
    </row>
    <row r="330" spans="1:10" hidden="1">
      <c r="A330" t="s">
        <v>32</v>
      </c>
      <c r="B330">
        <v>2022</v>
      </c>
      <c r="C330" t="s">
        <v>35</v>
      </c>
      <c r="D330" s="31" t="str">
        <f t="shared" si="5"/>
        <v>2022-March</v>
      </c>
      <c r="E330" s="1">
        <v>2196.3000000000002</v>
      </c>
      <c r="F330" s="1">
        <v>518.9</v>
      </c>
      <c r="G330" s="1">
        <v>484.6</v>
      </c>
      <c r="H330" s="1">
        <v>486.59999999999997</v>
      </c>
      <c r="I330" s="1">
        <v>318.7</v>
      </c>
      <c r="J330" s="1">
        <v>335</v>
      </c>
    </row>
    <row r="331" spans="1:10">
      <c r="A331" t="s">
        <v>33</v>
      </c>
      <c r="B331">
        <v>2022</v>
      </c>
      <c r="C331" t="s">
        <v>35</v>
      </c>
      <c r="D331" s="31" t="str">
        <f t="shared" si="5"/>
        <v>2022-March</v>
      </c>
      <c r="E331" s="1">
        <v>2184.2000000000003</v>
      </c>
      <c r="F331" s="1">
        <v>521.6</v>
      </c>
      <c r="G331" s="1">
        <v>507.79999999999995</v>
      </c>
      <c r="H331" s="1">
        <v>494.1</v>
      </c>
      <c r="I331" s="1">
        <v>325.10000000000002</v>
      </c>
      <c r="J331" s="1">
        <v>340.2</v>
      </c>
    </row>
    <row r="332" spans="1:10" hidden="1">
      <c r="A332" t="s">
        <v>30</v>
      </c>
      <c r="B332">
        <v>2022</v>
      </c>
      <c r="C332" t="s">
        <v>36</v>
      </c>
      <c r="D332" s="31" t="str">
        <f t="shared" si="5"/>
        <v>2022-April</v>
      </c>
      <c r="E332" s="1">
        <v>2206.6</v>
      </c>
      <c r="F332" s="1">
        <v>530.20000000000005</v>
      </c>
      <c r="G332" s="1">
        <v>529.70000000000005</v>
      </c>
      <c r="H332" s="1">
        <v>505.6</v>
      </c>
      <c r="I332" s="1">
        <v>339.5</v>
      </c>
      <c r="J332" s="1">
        <v>346</v>
      </c>
    </row>
    <row r="333" spans="1:10" hidden="1">
      <c r="A333" t="s">
        <v>32</v>
      </c>
      <c r="B333">
        <v>2022</v>
      </c>
      <c r="C333" t="s">
        <v>36</v>
      </c>
      <c r="D333" s="31" t="str">
        <f t="shared" si="5"/>
        <v>2022-April</v>
      </c>
      <c r="E333" s="1">
        <v>2230.4</v>
      </c>
      <c r="F333" s="1">
        <v>522.4</v>
      </c>
      <c r="G333" s="1">
        <v>489.2</v>
      </c>
      <c r="H333" s="1">
        <v>490.8</v>
      </c>
      <c r="I333" s="1">
        <v>329.8</v>
      </c>
      <c r="J333" s="1">
        <v>337.4</v>
      </c>
    </row>
    <row r="334" spans="1:10">
      <c r="A334" t="s">
        <v>33</v>
      </c>
      <c r="B334">
        <v>2022</v>
      </c>
      <c r="C334" t="s">
        <v>36</v>
      </c>
      <c r="D334" s="31" t="str">
        <f t="shared" si="5"/>
        <v>2022-April</v>
      </c>
      <c r="E334" s="1">
        <v>2214.3000000000002</v>
      </c>
      <c r="F334" s="1">
        <v>525.1</v>
      </c>
      <c r="G334" s="1">
        <v>513.20000000000005</v>
      </c>
      <c r="H334" s="1">
        <v>497.9</v>
      </c>
      <c r="I334" s="1">
        <v>334.79999999999995</v>
      </c>
      <c r="J334" s="1">
        <v>342.8</v>
      </c>
    </row>
    <row r="335" spans="1:10" hidden="1">
      <c r="A335" t="s">
        <v>30</v>
      </c>
      <c r="B335">
        <v>2022</v>
      </c>
      <c r="C335" t="s">
        <v>37</v>
      </c>
      <c r="D335" s="31" t="str">
        <f t="shared" si="5"/>
        <v>2022-May</v>
      </c>
      <c r="E335" s="1">
        <v>2226.8000000000002</v>
      </c>
      <c r="F335" s="1">
        <v>531.4</v>
      </c>
      <c r="G335" s="1">
        <v>535.5</v>
      </c>
      <c r="H335" s="1">
        <v>508.2</v>
      </c>
      <c r="I335" s="1">
        <v>342.4</v>
      </c>
      <c r="J335" s="1">
        <v>346.2</v>
      </c>
    </row>
    <row r="336" spans="1:10" hidden="1">
      <c r="A336" t="s">
        <v>32</v>
      </c>
      <c r="B336">
        <v>2022</v>
      </c>
      <c r="C336" t="s">
        <v>37</v>
      </c>
      <c r="D336" s="31" t="str">
        <f t="shared" si="5"/>
        <v>2022-May</v>
      </c>
      <c r="E336" s="1">
        <v>2262.2000000000003</v>
      </c>
      <c r="F336" s="1">
        <v>524.5</v>
      </c>
      <c r="G336" s="1">
        <v>493.7</v>
      </c>
      <c r="H336" s="1">
        <v>493.8</v>
      </c>
      <c r="I336" s="1">
        <v>332.9</v>
      </c>
      <c r="J336" s="1">
        <v>338.29999999999995</v>
      </c>
    </row>
    <row r="337" spans="1:10">
      <c r="A337" t="s">
        <v>33</v>
      </c>
      <c r="B337">
        <v>2022</v>
      </c>
      <c r="C337" t="s">
        <v>37</v>
      </c>
      <c r="D337" s="31" t="str">
        <f t="shared" si="5"/>
        <v>2022-May</v>
      </c>
      <c r="E337" s="1">
        <v>2238.9000000000005</v>
      </c>
      <c r="F337" s="1">
        <v>526.70000000000005</v>
      </c>
      <c r="G337" s="1">
        <v>518.6</v>
      </c>
      <c r="H337" s="1">
        <v>500.6</v>
      </c>
      <c r="I337" s="1">
        <v>337.6</v>
      </c>
      <c r="J337" s="1">
        <v>343.20000000000005</v>
      </c>
    </row>
    <row r="338" spans="1:10" hidden="1">
      <c r="A338" t="s">
        <v>30</v>
      </c>
      <c r="B338">
        <v>2022</v>
      </c>
      <c r="C338" t="s">
        <v>38</v>
      </c>
      <c r="D338" s="31" t="str">
        <f t="shared" si="5"/>
        <v>2022-June</v>
      </c>
      <c r="E338" s="1">
        <v>2248.3000000000002</v>
      </c>
      <c r="F338" s="1">
        <v>531.9</v>
      </c>
      <c r="G338" s="1">
        <v>539.79999999999995</v>
      </c>
      <c r="H338" s="1">
        <v>509.70000000000005</v>
      </c>
      <c r="I338" s="1">
        <v>342.2</v>
      </c>
      <c r="J338" s="1">
        <v>347.7</v>
      </c>
    </row>
    <row r="339" spans="1:10" hidden="1">
      <c r="A339" t="s">
        <v>32</v>
      </c>
      <c r="B339">
        <v>2022</v>
      </c>
      <c r="C339" t="s">
        <v>38</v>
      </c>
      <c r="D339" s="31" t="str">
        <f t="shared" si="5"/>
        <v>2022-June</v>
      </c>
      <c r="E339" s="1">
        <v>2287.5</v>
      </c>
      <c r="F339" s="1">
        <v>526.20000000000005</v>
      </c>
      <c r="G339" s="1">
        <v>498.4</v>
      </c>
      <c r="H339" s="1">
        <v>495.4</v>
      </c>
      <c r="I339" s="1">
        <v>332.1</v>
      </c>
      <c r="J339" s="1">
        <v>340.1</v>
      </c>
    </row>
    <row r="340" spans="1:10">
      <c r="A340" t="s">
        <v>33</v>
      </c>
      <c r="B340">
        <v>2022</v>
      </c>
      <c r="C340" t="s">
        <v>38</v>
      </c>
      <c r="D340" s="31" t="str">
        <f t="shared" si="5"/>
        <v>2022-June</v>
      </c>
      <c r="E340" s="1">
        <v>2261.9</v>
      </c>
      <c r="F340" s="1">
        <v>527.6</v>
      </c>
      <c r="G340" s="1">
        <v>523</v>
      </c>
      <c r="H340" s="1">
        <v>502.20000000000005</v>
      </c>
      <c r="I340" s="1">
        <v>337.1</v>
      </c>
      <c r="J340" s="1">
        <v>344.8</v>
      </c>
    </row>
    <row r="341" spans="1:10" hidden="1">
      <c r="A341" t="s">
        <v>30</v>
      </c>
      <c r="B341">
        <v>2022</v>
      </c>
      <c r="C341" t="s">
        <v>39</v>
      </c>
      <c r="D341" s="31" t="str">
        <f t="shared" si="5"/>
        <v>2022-July</v>
      </c>
      <c r="E341" s="1">
        <v>2252.5</v>
      </c>
      <c r="F341" s="1">
        <v>533.59999999999991</v>
      </c>
      <c r="G341" s="1">
        <v>544</v>
      </c>
      <c r="H341" s="1">
        <v>513.79999999999995</v>
      </c>
      <c r="I341" s="1">
        <v>345.9</v>
      </c>
      <c r="J341" s="1">
        <v>348.5</v>
      </c>
    </row>
    <row r="342" spans="1:10" hidden="1">
      <c r="A342" t="s">
        <v>32</v>
      </c>
      <c r="B342">
        <v>2022</v>
      </c>
      <c r="C342" t="s">
        <v>39</v>
      </c>
      <c r="D342" s="31" t="str">
        <f t="shared" si="5"/>
        <v>2022-July</v>
      </c>
      <c r="E342" s="1">
        <v>2291.6</v>
      </c>
      <c r="F342" s="1">
        <v>527.9</v>
      </c>
      <c r="G342" s="1">
        <v>502</v>
      </c>
      <c r="H342" s="1">
        <v>500</v>
      </c>
      <c r="I342" s="1">
        <v>336.9</v>
      </c>
      <c r="J342" s="1">
        <v>341.5</v>
      </c>
    </row>
    <row r="343" spans="1:10">
      <c r="A343" t="s">
        <v>33</v>
      </c>
      <c r="B343">
        <v>2022</v>
      </c>
      <c r="C343" t="s">
        <v>39</v>
      </c>
      <c r="D343" s="31" t="str">
        <f t="shared" si="5"/>
        <v>2022-July</v>
      </c>
      <c r="E343" s="1">
        <v>2266.3000000000002</v>
      </c>
      <c r="F343" s="1">
        <v>529.29999999999995</v>
      </c>
      <c r="G343" s="1">
        <v>526.90000000000009</v>
      </c>
      <c r="H343" s="1">
        <v>506.6</v>
      </c>
      <c r="I343" s="1">
        <v>341.2</v>
      </c>
      <c r="J343" s="1">
        <v>345.79999999999995</v>
      </c>
    </row>
    <row r="344" spans="1:10" hidden="1">
      <c r="A344" t="s">
        <v>30</v>
      </c>
      <c r="B344">
        <v>2022</v>
      </c>
      <c r="C344" t="s">
        <v>40</v>
      </c>
      <c r="D344" s="31" t="str">
        <f t="shared" si="5"/>
        <v>2022-August</v>
      </c>
      <c r="E344" s="1">
        <v>2255.7999999999997</v>
      </c>
      <c r="F344" s="1">
        <v>535.6</v>
      </c>
      <c r="G344" s="1">
        <v>547.9</v>
      </c>
      <c r="H344" s="1">
        <v>517</v>
      </c>
      <c r="I344" s="1">
        <v>345.7</v>
      </c>
      <c r="J344" s="1">
        <v>350.5</v>
      </c>
    </row>
    <row r="345" spans="1:10" hidden="1">
      <c r="A345" t="s">
        <v>32</v>
      </c>
      <c r="B345">
        <v>2022</v>
      </c>
      <c r="C345" t="s">
        <v>40</v>
      </c>
      <c r="D345" s="31" t="str">
        <f t="shared" si="5"/>
        <v>2022-August</v>
      </c>
      <c r="E345" s="1">
        <v>2293.6999999999998</v>
      </c>
      <c r="F345" s="1">
        <v>529.19999999999993</v>
      </c>
      <c r="G345" s="1">
        <v>505.29999999999995</v>
      </c>
      <c r="H345" s="1">
        <v>503.1</v>
      </c>
      <c r="I345" s="1">
        <v>336.1</v>
      </c>
      <c r="J345" s="1">
        <v>344</v>
      </c>
    </row>
    <row r="346" spans="1:10">
      <c r="A346" t="s">
        <v>33</v>
      </c>
      <c r="B346">
        <v>2022</v>
      </c>
      <c r="C346" t="s">
        <v>40</v>
      </c>
      <c r="D346" s="31" t="str">
        <f t="shared" si="5"/>
        <v>2022-August</v>
      </c>
      <c r="E346" s="1">
        <v>2269.2000000000003</v>
      </c>
      <c r="F346" s="1">
        <v>531</v>
      </c>
      <c r="G346" s="1">
        <v>530.70000000000005</v>
      </c>
      <c r="H346" s="1">
        <v>509.8</v>
      </c>
      <c r="I346" s="1">
        <v>340.70000000000005</v>
      </c>
      <c r="J346" s="1">
        <v>348</v>
      </c>
    </row>
    <row r="347" spans="1:10" hidden="1">
      <c r="A347" t="s">
        <v>30</v>
      </c>
      <c r="B347">
        <v>2022</v>
      </c>
      <c r="C347" t="s">
        <v>41</v>
      </c>
      <c r="D347" s="31" t="str">
        <f t="shared" si="5"/>
        <v>2022-September</v>
      </c>
      <c r="E347" s="1">
        <v>2267.8000000000002</v>
      </c>
      <c r="F347" s="1">
        <v>537.6</v>
      </c>
      <c r="G347" s="1">
        <v>552.5</v>
      </c>
      <c r="H347" s="1">
        <v>519.29999999999995</v>
      </c>
      <c r="I347" s="1">
        <v>346.6</v>
      </c>
      <c r="J347" s="1">
        <v>351</v>
      </c>
    </row>
    <row r="348" spans="1:10" hidden="1">
      <c r="A348" t="s">
        <v>32</v>
      </c>
      <c r="B348">
        <v>2022</v>
      </c>
      <c r="C348" t="s">
        <v>41</v>
      </c>
      <c r="D348" s="31" t="str">
        <f t="shared" si="5"/>
        <v>2022-September</v>
      </c>
      <c r="E348" s="1">
        <v>2306.4</v>
      </c>
      <c r="F348" s="1">
        <v>531.6</v>
      </c>
      <c r="G348" s="1">
        <v>509.7</v>
      </c>
      <c r="H348" s="1">
        <v>505.4</v>
      </c>
      <c r="I348" s="1">
        <v>337.4</v>
      </c>
      <c r="J348" s="1">
        <v>344.9</v>
      </c>
    </row>
    <row r="349" spans="1:10">
      <c r="A349" t="s">
        <v>33</v>
      </c>
      <c r="B349">
        <v>2022</v>
      </c>
      <c r="C349" t="s">
        <v>41</v>
      </c>
      <c r="D349" s="31" t="str">
        <f t="shared" si="5"/>
        <v>2022-September</v>
      </c>
      <c r="E349" s="1">
        <v>2280.9</v>
      </c>
      <c r="F349" s="1">
        <v>533.20000000000005</v>
      </c>
      <c r="G349" s="1">
        <v>535.1</v>
      </c>
      <c r="H349" s="1">
        <v>512.1</v>
      </c>
      <c r="I349" s="1">
        <v>341.8</v>
      </c>
      <c r="J349" s="1">
        <v>348.70000000000005</v>
      </c>
    </row>
    <row r="350" spans="1:10" hidden="1">
      <c r="A350" t="s">
        <v>30</v>
      </c>
      <c r="B350">
        <v>2022</v>
      </c>
      <c r="C350" t="s">
        <v>42</v>
      </c>
      <c r="D350" s="31" t="str">
        <f t="shared" si="5"/>
        <v>2022-October</v>
      </c>
      <c r="E350" s="1">
        <v>2284.5</v>
      </c>
      <c r="F350" s="1">
        <v>539.4</v>
      </c>
      <c r="G350" s="1">
        <v>556.4</v>
      </c>
      <c r="H350" s="1">
        <v>522.1</v>
      </c>
      <c r="I350" s="1">
        <v>348.20000000000005</v>
      </c>
      <c r="J350" s="1">
        <v>353.2</v>
      </c>
    </row>
    <row r="351" spans="1:10" hidden="1">
      <c r="A351" t="s">
        <v>32</v>
      </c>
      <c r="B351">
        <v>2022</v>
      </c>
      <c r="C351" t="s">
        <v>42</v>
      </c>
      <c r="D351" s="31" t="str">
        <f t="shared" si="5"/>
        <v>2022-October</v>
      </c>
      <c r="E351" s="1">
        <v>2322.3000000000002</v>
      </c>
      <c r="F351" s="1">
        <v>533.20000000000005</v>
      </c>
      <c r="G351" s="1">
        <v>511.70000000000005</v>
      </c>
      <c r="H351" s="1">
        <v>508.4</v>
      </c>
      <c r="I351" s="1">
        <v>338.8</v>
      </c>
      <c r="J351" s="1">
        <v>347</v>
      </c>
    </row>
    <row r="352" spans="1:10">
      <c r="A352" t="s">
        <v>33</v>
      </c>
      <c r="B352">
        <v>2022</v>
      </c>
      <c r="C352" t="s">
        <v>42</v>
      </c>
      <c r="D352" s="31" t="str">
        <f t="shared" si="5"/>
        <v>2022-October</v>
      </c>
      <c r="E352" s="1">
        <v>2297.3000000000002</v>
      </c>
      <c r="F352" s="1">
        <v>535</v>
      </c>
      <c r="G352" s="1">
        <v>538.20000000000005</v>
      </c>
      <c r="H352" s="1">
        <v>515</v>
      </c>
      <c r="I352" s="1">
        <v>343.4</v>
      </c>
      <c r="J352" s="1">
        <v>350.79999999999995</v>
      </c>
    </row>
    <row r="353" spans="1:10" hidden="1">
      <c r="A353" t="s">
        <v>30</v>
      </c>
      <c r="B353">
        <v>2022</v>
      </c>
      <c r="C353" t="s">
        <v>44</v>
      </c>
      <c r="D353" s="31" t="str">
        <f t="shared" si="5"/>
        <v>2022-November</v>
      </c>
      <c r="E353" s="1">
        <v>2287.6999999999998</v>
      </c>
      <c r="F353" s="1">
        <v>540.9</v>
      </c>
      <c r="G353" s="1">
        <v>559.29999999999995</v>
      </c>
      <c r="H353" s="1">
        <v>524.20000000000005</v>
      </c>
      <c r="I353" s="1">
        <v>349.4</v>
      </c>
      <c r="J353" s="1">
        <v>355.70000000000005</v>
      </c>
    </row>
    <row r="354" spans="1:10" hidden="1">
      <c r="A354" t="s">
        <v>32</v>
      </c>
      <c r="B354">
        <v>2022</v>
      </c>
      <c r="C354" t="s">
        <v>44</v>
      </c>
      <c r="D354" s="31" t="str">
        <f t="shared" si="5"/>
        <v>2022-November</v>
      </c>
      <c r="E354" s="1">
        <v>2314.4</v>
      </c>
      <c r="F354" s="1">
        <v>534.69999999999993</v>
      </c>
      <c r="G354" s="1">
        <v>514.9</v>
      </c>
      <c r="H354" s="1">
        <v>510.20000000000005</v>
      </c>
      <c r="I354" s="1">
        <v>339.20000000000005</v>
      </c>
      <c r="J354" s="1">
        <v>349.6</v>
      </c>
    </row>
    <row r="355" spans="1:10">
      <c r="A355" t="s">
        <v>33</v>
      </c>
      <c r="B355">
        <v>2022</v>
      </c>
      <c r="C355" t="s">
        <v>44</v>
      </c>
      <c r="D355" s="31" t="str">
        <f t="shared" si="5"/>
        <v>2022-November</v>
      </c>
      <c r="E355" s="1">
        <v>2296.8000000000002</v>
      </c>
      <c r="F355" s="1">
        <v>536.5</v>
      </c>
      <c r="G355" s="1">
        <v>541.4</v>
      </c>
      <c r="H355" s="1">
        <v>516.90000000000009</v>
      </c>
      <c r="I355" s="1">
        <v>344.3</v>
      </c>
      <c r="J355" s="1">
        <v>353.4</v>
      </c>
    </row>
    <row r="356" spans="1:10" hidden="1">
      <c r="A356" t="s">
        <v>30</v>
      </c>
      <c r="B356">
        <v>2022</v>
      </c>
      <c r="C356" t="s">
        <v>45</v>
      </c>
      <c r="D356" s="31" t="str">
        <f t="shared" si="5"/>
        <v>2022-December</v>
      </c>
      <c r="E356" s="1">
        <v>2277.1</v>
      </c>
      <c r="F356" s="1">
        <v>542.6</v>
      </c>
      <c r="G356" s="1">
        <v>561.79999999999995</v>
      </c>
      <c r="H356" s="1">
        <v>524.40000000000009</v>
      </c>
      <c r="I356" s="1">
        <v>350.6</v>
      </c>
      <c r="J356" s="1">
        <v>359.2</v>
      </c>
    </row>
    <row r="357" spans="1:10" hidden="1">
      <c r="A357" t="s">
        <v>32</v>
      </c>
      <c r="B357">
        <v>2022</v>
      </c>
      <c r="C357" t="s">
        <v>45</v>
      </c>
      <c r="D357" s="31" t="str">
        <f t="shared" si="5"/>
        <v>2022-December</v>
      </c>
      <c r="E357" s="1">
        <v>2295.7999999999997</v>
      </c>
      <c r="F357" s="1">
        <v>536.4</v>
      </c>
      <c r="G357" s="1">
        <v>517.9</v>
      </c>
      <c r="H357" s="1">
        <v>509.8</v>
      </c>
      <c r="I357" s="1">
        <v>340</v>
      </c>
      <c r="J357" s="1">
        <v>353.2</v>
      </c>
    </row>
    <row r="358" spans="1:10">
      <c r="A358" t="s">
        <v>33</v>
      </c>
      <c r="B358">
        <v>2022</v>
      </c>
      <c r="C358" t="s">
        <v>45</v>
      </c>
      <c r="D358" s="31" t="str">
        <f t="shared" si="5"/>
        <v>2022-December</v>
      </c>
      <c r="E358" s="1">
        <v>2283.4</v>
      </c>
      <c r="F358" s="1">
        <v>538.20000000000005</v>
      </c>
      <c r="G358" s="1">
        <v>544</v>
      </c>
      <c r="H358" s="1">
        <v>516.9</v>
      </c>
      <c r="I358" s="1">
        <v>345.4</v>
      </c>
      <c r="J358" s="1">
        <v>356.9</v>
      </c>
    </row>
    <row r="359" spans="1:10" hidden="1">
      <c r="A359" t="s">
        <v>30</v>
      </c>
      <c r="B359">
        <v>2023</v>
      </c>
      <c r="C359" t="s">
        <v>31</v>
      </c>
      <c r="D359" s="31" t="str">
        <f t="shared" si="5"/>
        <v>2023-January</v>
      </c>
      <c r="E359" s="1">
        <v>2283.2000000000003</v>
      </c>
      <c r="F359" s="1">
        <v>545.20000000000005</v>
      </c>
      <c r="G359" s="1">
        <v>563.9</v>
      </c>
      <c r="H359" s="1">
        <v>527.09999999999991</v>
      </c>
      <c r="I359" s="1">
        <v>351.4</v>
      </c>
      <c r="J359" s="1">
        <v>363.1</v>
      </c>
    </row>
    <row r="360" spans="1:10" hidden="1">
      <c r="A360" t="s">
        <v>32</v>
      </c>
      <c r="B360">
        <v>2023</v>
      </c>
      <c r="C360" t="s">
        <v>31</v>
      </c>
      <c r="D360" s="31" t="str">
        <f t="shared" si="5"/>
        <v>2023-January</v>
      </c>
      <c r="E360" s="1">
        <v>2310.2000000000003</v>
      </c>
      <c r="F360" s="1">
        <v>538.29999999999995</v>
      </c>
      <c r="G360" s="1">
        <v>520.6</v>
      </c>
      <c r="H360" s="1">
        <v>511.90000000000003</v>
      </c>
      <c r="I360" s="1">
        <v>339.6</v>
      </c>
      <c r="J360" s="1">
        <v>357.3</v>
      </c>
    </row>
    <row r="361" spans="1:10">
      <c r="A361" t="s">
        <v>33</v>
      </c>
      <c r="B361">
        <v>2023</v>
      </c>
      <c r="C361" t="s">
        <v>31</v>
      </c>
      <c r="D361" s="31" t="str">
        <f t="shared" si="5"/>
        <v>2023-January</v>
      </c>
      <c r="E361" s="1">
        <v>2292.6999999999998</v>
      </c>
      <c r="F361" s="1">
        <v>540.5</v>
      </c>
      <c r="G361" s="1">
        <v>546.29999999999995</v>
      </c>
      <c r="H361" s="1">
        <v>519.29999999999995</v>
      </c>
      <c r="I361" s="1">
        <v>345.6</v>
      </c>
      <c r="J361" s="1">
        <v>360.9</v>
      </c>
    </row>
    <row r="362" spans="1:10" hidden="1">
      <c r="A362" t="s">
        <v>30</v>
      </c>
      <c r="B362">
        <v>2023</v>
      </c>
      <c r="C362" t="s">
        <v>34</v>
      </c>
      <c r="D362" s="31" t="str">
        <f t="shared" si="5"/>
        <v>2023-February</v>
      </c>
      <c r="E362" s="1">
        <v>2265.6999999999998</v>
      </c>
      <c r="F362" s="1">
        <v>549</v>
      </c>
      <c r="G362" s="1">
        <v>566.6</v>
      </c>
      <c r="H362" s="1">
        <v>530.6</v>
      </c>
      <c r="I362" s="1">
        <v>350.6</v>
      </c>
      <c r="J362" s="1">
        <v>367.29999999999995</v>
      </c>
    </row>
    <row r="363" spans="1:10" hidden="1">
      <c r="A363" t="s">
        <v>32</v>
      </c>
      <c r="B363">
        <v>2023</v>
      </c>
      <c r="C363" t="s">
        <v>34</v>
      </c>
      <c r="D363" s="31" t="str">
        <f t="shared" si="5"/>
        <v>2023-February</v>
      </c>
      <c r="E363" s="1">
        <v>2303.1999999999998</v>
      </c>
      <c r="F363" s="1">
        <v>541.1</v>
      </c>
      <c r="G363" s="1">
        <v>525.5</v>
      </c>
      <c r="H363" s="1">
        <v>515.20000000000005</v>
      </c>
      <c r="I363" s="1">
        <v>342.6</v>
      </c>
      <c r="J363" s="1">
        <v>362.20000000000005</v>
      </c>
    </row>
    <row r="364" spans="1:10">
      <c r="A364" t="s">
        <v>33</v>
      </c>
      <c r="B364">
        <v>2023</v>
      </c>
      <c r="C364" t="s">
        <v>34</v>
      </c>
      <c r="D364" s="31" t="str">
        <f t="shared" si="5"/>
        <v>2023-February</v>
      </c>
      <c r="E364" s="1">
        <v>2279.1</v>
      </c>
      <c r="F364" s="1">
        <v>543.9</v>
      </c>
      <c r="G364" s="1">
        <v>550</v>
      </c>
      <c r="H364" s="1">
        <v>522.70000000000005</v>
      </c>
      <c r="I364" s="1">
        <v>346.29999999999995</v>
      </c>
      <c r="J364" s="1">
        <v>365.4</v>
      </c>
    </row>
    <row r="365" spans="1:10" hidden="1">
      <c r="A365" t="s">
        <v>30</v>
      </c>
      <c r="B365">
        <v>2023</v>
      </c>
      <c r="C365" t="s">
        <v>35</v>
      </c>
      <c r="D365" s="31" t="str">
        <f t="shared" si="5"/>
        <v>2023-March</v>
      </c>
      <c r="E365" s="1">
        <v>2265.8000000000002</v>
      </c>
      <c r="F365" s="1">
        <v>549.1</v>
      </c>
      <c r="G365" s="1">
        <v>566.6</v>
      </c>
      <c r="H365" s="1">
        <v>530.6</v>
      </c>
      <c r="I365" s="1">
        <v>350.4</v>
      </c>
      <c r="J365" s="1">
        <v>367.29999999999995</v>
      </c>
    </row>
    <row r="366" spans="1:10" hidden="1">
      <c r="A366" t="s">
        <v>32</v>
      </c>
      <c r="B366">
        <v>2023</v>
      </c>
      <c r="C366" t="s">
        <v>35</v>
      </c>
      <c r="D366" s="31" t="str">
        <f t="shared" si="5"/>
        <v>2023-March</v>
      </c>
      <c r="E366" s="1">
        <v>2303.4</v>
      </c>
      <c r="F366" s="1">
        <v>541.1</v>
      </c>
      <c r="G366" s="1">
        <v>525.4</v>
      </c>
      <c r="H366" s="1">
        <v>515.20000000000005</v>
      </c>
      <c r="I366" s="1">
        <v>342.4</v>
      </c>
      <c r="J366" s="1">
        <v>362.3</v>
      </c>
    </row>
    <row r="367" spans="1:10">
      <c r="A367" t="s">
        <v>33</v>
      </c>
      <c r="B367">
        <v>2023</v>
      </c>
      <c r="C367" t="s">
        <v>35</v>
      </c>
      <c r="D367" s="31" t="str">
        <f t="shared" si="5"/>
        <v>2023-March</v>
      </c>
      <c r="E367" s="1">
        <v>2279.1999999999998</v>
      </c>
      <c r="F367" s="1">
        <v>543.9</v>
      </c>
      <c r="G367" s="1">
        <v>549.9</v>
      </c>
      <c r="H367" s="1">
        <v>522.70000000000005</v>
      </c>
      <c r="I367" s="1">
        <v>346.1</v>
      </c>
      <c r="J367" s="1">
        <v>365.4</v>
      </c>
    </row>
    <row r="368" spans="1:10" hidden="1">
      <c r="A368" t="s">
        <v>30</v>
      </c>
      <c r="B368">
        <v>2023</v>
      </c>
      <c r="C368" t="s">
        <v>36</v>
      </c>
      <c r="D368" s="31" t="str">
        <f t="shared" si="5"/>
        <v>2023-April</v>
      </c>
      <c r="E368" s="1">
        <v>2274.1999999999998</v>
      </c>
      <c r="F368" s="1">
        <v>551.6</v>
      </c>
      <c r="G368" s="1">
        <v>568.20000000000005</v>
      </c>
      <c r="H368" s="1">
        <v>533.69999999999993</v>
      </c>
      <c r="I368" s="1">
        <v>350.9</v>
      </c>
      <c r="J368" s="1">
        <v>371</v>
      </c>
    </row>
    <row r="369" spans="1:10" hidden="1">
      <c r="A369" t="s">
        <v>32</v>
      </c>
      <c r="B369">
        <v>2023</v>
      </c>
      <c r="C369" t="s">
        <v>36</v>
      </c>
      <c r="D369" s="31" t="str">
        <f t="shared" si="5"/>
        <v>2023-April</v>
      </c>
      <c r="E369" s="1">
        <v>2317.7000000000003</v>
      </c>
      <c r="F369" s="1">
        <v>543.20000000000005</v>
      </c>
      <c r="G369" s="1">
        <v>527.6</v>
      </c>
      <c r="H369" s="1">
        <v>519</v>
      </c>
      <c r="I369" s="1">
        <v>342.2</v>
      </c>
      <c r="J369" s="1">
        <v>365.9</v>
      </c>
    </row>
    <row r="370" spans="1:10">
      <c r="A370" t="s">
        <v>33</v>
      </c>
      <c r="B370">
        <v>2023</v>
      </c>
      <c r="C370" t="s">
        <v>36</v>
      </c>
      <c r="D370" s="31" t="str">
        <f t="shared" si="5"/>
        <v>2023-April</v>
      </c>
      <c r="E370" s="1">
        <v>2289.6000000000004</v>
      </c>
      <c r="F370" s="1">
        <v>546.29999999999995</v>
      </c>
      <c r="G370" s="1">
        <v>551.79999999999995</v>
      </c>
      <c r="H370" s="1">
        <v>526.19999999999993</v>
      </c>
      <c r="I370" s="1">
        <v>346.2</v>
      </c>
      <c r="J370" s="1">
        <v>369</v>
      </c>
    </row>
    <row r="371" spans="1:10" hidden="1">
      <c r="A371" t="s">
        <v>30</v>
      </c>
      <c r="B371">
        <v>2023</v>
      </c>
      <c r="C371" t="s">
        <v>37</v>
      </c>
      <c r="D371" s="31" t="str">
        <f t="shared" si="5"/>
        <v>2023-May</v>
      </c>
      <c r="E371" s="1">
        <v>2290.7000000000007</v>
      </c>
      <c r="F371" s="1">
        <v>553.20000000000005</v>
      </c>
      <c r="G371" s="1">
        <v>569.90000000000009</v>
      </c>
      <c r="H371" s="1">
        <v>535.70000000000005</v>
      </c>
      <c r="I371" s="1">
        <v>352.2</v>
      </c>
      <c r="J371" s="1">
        <v>372.70000000000005</v>
      </c>
    </row>
    <row r="372" spans="1:10" hidden="1">
      <c r="A372" t="s">
        <v>32</v>
      </c>
      <c r="B372">
        <v>2023</v>
      </c>
      <c r="C372" t="s">
        <v>37</v>
      </c>
      <c r="D372" s="31" t="str">
        <f t="shared" si="5"/>
        <v>2023-May</v>
      </c>
      <c r="E372" s="1">
        <v>2335.1</v>
      </c>
      <c r="F372" s="1">
        <v>545</v>
      </c>
      <c r="G372" s="1">
        <v>528.70000000000005</v>
      </c>
      <c r="H372" s="1">
        <v>520.5</v>
      </c>
      <c r="I372" s="1">
        <v>343.8</v>
      </c>
      <c r="J372" s="1">
        <v>367.79999999999995</v>
      </c>
    </row>
    <row r="373" spans="1:10">
      <c r="A373" t="s">
        <v>33</v>
      </c>
      <c r="B373">
        <v>2023</v>
      </c>
      <c r="C373" t="s">
        <v>37</v>
      </c>
      <c r="D373" s="31" t="str">
        <f t="shared" si="5"/>
        <v>2023-May</v>
      </c>
      <c r="E373" s="1">
        <v>2306.9</v>
      </c>
      <c r="F373" s="1">
        <v>547.9</v>
      </c>
      <c r="G373" s="1">
        <v>553.20000000000005</v>
      </c>
      <c r="H373" s="1">
        <v>527.9</v>
      </c>
      <c r="I373" s="1">
        <v>347.6</v>
      </c>
      <c r="J373" s="1">
        <v>370.9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3595-12D9-4CA2-935E-ECC1EF540513}">
  <dimension ref="A1:C10"/>
  <sheetViews>
    <sheetView workbookViewId="0">
      <selection activeCell="G12" sqref="G12"/>
    </sheetView>
  </sheetViews>
  <sheetFormatPr defaultRowHeight="14.4"/>
  <cols>
    <col min="1" max="1" width="20.88671875" bestFit="1" customWidth="1"/>
    <col min="2" max="2" width="11.109375" bestFit="1" customWidth="1"/>
    <col min="3" max="3" width="15.88671875" bestFit="1" customWidth="1"/>
    <col min="4" max="4" width="14.5546875" bestFit="1" customWidth="1"/>
    <col min="5" max="5" width="15.33203125" bestFit="1" customWidth="1"/>
    <col min="6" max="6" width="17.21875" bestFit="1" customWidth="1"/>
    <col min="7" max="7" width="19.44140625" bestFit="1" customWidth="1"/>
  </cols>
  <sheetData>
    <row r="1" spans="1:3">
      <c r="A1" s="37" t="s">
        <v>136</v>
      </c>
      <c r="B1" s="30" t="s">
        <v>139</v>
      </c>
    </row>
    <row r="3" spans="1:3">
      <c r="A3" s="33" t="s">
        <v>134</v>
      </c>
      <c r="B3" s="2" t="s">
        <v>135</v>
      </c>
      <c r="C3" s="34" t="s">
        <v>54</v>
      </c>
    </row>
    <row r="4" spans="1:3">
      <c r="A4" s="2" t="s">
        <v>130</v>
      </c>
      <c r="B4" s="2">
        <v>6932.7000000000007</v>
      </c>
      <c r="C4" s="6">
        <f>B4/$B$10</f>
        <v>0.49626692054947491</v>
      </c>
    </row>
    <row r="5" spans="1:3">
      <c r="A5" s="2" t="s">
        <v>137</v>
      </c>
      <c r="B5" s="2">
        <v>1646.1000000000001</v>
      </c>
      <c r="C5" s="6">
        <f t="shared" ref="C5:C9" si="0">B5/$B$10</f>
        <v>0.11783359699921973</v>
      </c>
    </row>
    <row r="6" spans="1:3">
      <c r="A6" s="2" t="s">
        <v>131</v>
      </c>
      <c r="B6" s="2">
        <v>1651.8000000000002</v>
      </c>
      <c r="C6" s="6">
        <f t="shared" si="0"/>
        <v>0.11824162294107961</v>
      </c>
    </row>
    <row r="7" spans="1:3">
      <c r="A7" s="2" t="s">
        <v>138</v>
      </c>
      <c r="B7" s="2">
        <v>1584.1000000000001</v>
      </c>
      <c r="C7" s="6">
        <f t="shared" si="0"/>
        <v>0.11339542008776136</v>
      </c>
    </row>
    <row r="8" spans="1:3">
      <c r="A8" s="2" t="s">
        <v>132</v>
      </c>
      <c r="B8" s="2">
        <v>1043.6000000000001</v>
      </c>
      <c r="C8" s="6">
        <f t="shared" si="0"/>
        <v>7.4704539109644447E-2</v>
      </c>
    </row>
    <row r="9" spans="1:3">
      <c r="A9" s="2" t="s">
        <v>133</v>
      </c>
      <c r="B9" s="2">
        <v>1111.4000000000001</v>
      </c>
      <c r="C9" s="6">
        <f t="shared" si="0"/>
        <v>7.9557900312819882E-2</v>
      </c>
    </row>
    <row r="10" spans="1:3">
      <c r="A10" s="35" t="s">
        <v>140</v>
      </c>
      <c r="B10" s="35">
        <f>SUM(B4:B9)</f>
        <v>13969.700000000003</v>
      </c>
      <c r="C10" s="36">
        <f>SUM(C4:C9)</f>
        <v>1</v>
      </c>
    </row>
  </sheetData>
  <conditionalFormatting pivot="1" sqref="B4:B9">
    <cfRule type="colorScale" priority="3">
      <colorScale>
        <cfvo type="min"/>
        <cfvo type="max"/>
        <color rgb="FFFCFCFF"/>
        <color rgb="FF63BE7B"/>
      </colorScale>
    </cfRule>
  </conditionalFormatting>
  <conditionalFormatting sqref="C4:C9">
    <cfRule type="dataBar" priority="2">
      <dataBar>
        <cfvo type="min"/>
        <cfvo type="max"/>
        <color rgb="FF638EC6"/>
      </dataBar>
      <extLst>
        <ext xmlns:x14="http://schemas.microsoft.com/office/spreadsheetml/2009/9/main" uri="{B025F937-C7B1-47D3-B67F-A62EFF666E3E}">
          <x14:id>{ADB4EEFC-0FB2-4A0A-A7EB-8E264A39BC61}</x14:id>
        </ext>
      </extLst>
    </cfRule>
  </conditionalFormatting>
  <conditionalFormatting pivot="1" sqref="B4:B9">
    <cfRule type="dataBar" priority="1">
      <dataBar>
        <cfvo type="min"/>
        <cfvo type="max"/>
        <color rgb="FF63C384"/>
      </dataBar>
      <extLst>
        <ext xmlns:x14="http://schemas.microsoft.com/office/spreadsheetml/2009/9/main" uri="{B025F937-C7B1-47D3-B67F-A62EFF666E3E}">
          <x14:id>{0794B1BB-E51D-4002-B59C-2FF61A7F5BB4}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ADB4EEFC-0FB2-4A0A-A7EB-8E264A39BC61}">
            <x14:dataBar minLength="0" maxLength="100" gradient="0">
              <x14:cfvo type="autoMin"/>
              <x14:cfvo type="autoMax"/>
              <x14:negativeFillColor rgb="FFFF0000"/>
              <x14:axisColor rgb="FF000000"/>
            </x14:dataBar>
          </x14:cfRule>
          <xm:sqref>C4:C9</xm:sqref>
        </x14:conditionalFormatting>
        <x14:conditionalFormatting xmlns:xm="http://schemas.microsoft.com/office/excel/2006/main" pivot="1">
          <x14:cfRule type="dataBar" id="{0794B1BB-E51D-4002-B59C-2FF61A7F5BB4}">
            <x14:dataBar minLength="0" maxLength="100" gradient="0">
              <x14:cfvo type="autoMin"/>
              <x14:cfvo type="autoMax"/>
              <x14:negativeFillColor rgb="FFFF0000"/>
              <x14:axisColor rgb="FF000000"/>
            </x14:dataBar>
          </x14:cfRule>
          <xm:sqref>B4:B9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75E6-1271-4CE3-BB88-B45608F69E17}">
  <dimension ref="A1:D373"/>
  <sheetViews>
    <sheetView workbookViewId="0">
      <selection activeCell="F19" sqref="F19"/>
    </sheetView>
  </sheetViews>
  <sheetFormatPr defaultRowHeight="14.4"/>
  <cols>
    <col min="1" max="1" width="10.109375" customWidth="1"/>
    <col min="4" max="4" width="12" style="1" bestFit="1" customWidth="1"/>
    <col min="5" max="16384" width="8.88671875" style="42"/>
  </cols>
  <sheetData>
    <row r="1" spans="1:4">
      <c r="A1" s="25" t="s">
        <v>0</v>
      </c>
      <c r="B1" s="25" t="s">
        <v>1</v>
      </c>
      <c r="C1" s="25" t="s">
        <v>2</v>
      </c>
      <c r="D1" s="26" t="s">
        <v>29</v>
      </c>
    </row>
    <row r="2" spans="1:4">
      <c r="A2" t="s">
        <v>30</v>
      </c>
      <c r="B2">
        <v>2013</v>
      </c>
      <c r="C2" t="s">
        <v>31</v>
      </c>
      <c r="D2" s="1">
        <v>105.1</v>
      </c>
    </row>
    <row r="3" spans="1:4">
      <c r="A3" t="s">
        <v>32</v>
      </c>
      <c r="B3">
        <v>2013</v>
      </c>
      <c r="C3" t="s">
        <v>31</v>
      </c>
      <c r="D3" s="1">
        <v>104</v>
      </c>
    </row>
    <row r="4" spans="1:4">
      <c r="A4" t="s">
        <v>33</v>
      </c>
      <c r="B4">
        <v>2013</v>
      </c>
      <c r="C4" t="s">
        <v>31</v>
      </c>
      <c r="D4" s="1">
        <v>104.6</v>
      </c>
    </row>
    <row r="5" spans="1:4">
      <c r="A5" t="s">
        <v>30</v>
      </c>
      <c r="B5">
        <v>2013</v>
      </c>
      <c r="C5" t="s">
        <v>34</v>
      </c>
      <c r="D5" s="1">
        <v>105.8</v>
      </c>
    </row>
    <row r="6" spans="1:4">
      <c r="A6" t="s">
        <v>32</v>
      </c>
      <c r="B6">
        <v>2013</v>
      </c>
      <c r="C6" t="s">
        <v>34</v>
      </c>
      <c r="D6" s="1">
        <v>104.7</v>
      </c>
    </row>
    <row r="7" spans="1:4">
      <c r="A7" t="s">
        <v>33</v>
      </c>
      <c r="B7">
        <v>2013</v>
      </c>
      <c r="C7" t="s">
        <v>34</v>
      </c>
      <c r="D7" s="1">
        <v>105.3</v>
      </c>
    </row>
    <row r="8" spans="1:4">
      <c r="A8" t="s">
        <v>30</v>
      </c>
      <c r="B8">
        <v>2013</v>
      </c>
      <c r="C8" t="s">
        <v>35</v>
      </c>
      <c r="D8" s="1">
        <v>106</v>
      </c>
    </row>
    <row r="9" spans="1:4">
      <c r="A9" t="s">
        <v>32</v>
      </c>
      <c r="B9">
        <v>2013</v>
      </c>
      <c r="C9" t="s">
        <v>35</v>
      </c>
      <c r="D9" s="1">
        <v>105</v>
      </c>
    </row>
    <row r="10" spans="1:4">
      <c r="A10" t="s">
        <v>33</v>
      </c>
      <c r="B10">
        <v>2013</v>
      </c>
      <c r="C10" t="s">
        <v>35</v>
      </c>
      <c r="D10" s="1">
        <v>105.5</v>
      </c>
    </row>
    <row r="11" spans="1:4">
      <c r="A11" t="s">
        <v>30</v>
      </c>
      <c r="B11">
        <v>2013</v>
      </c>
      <c r="C11" t="s">
        <v>36</v>
      </c>
      <c r="D11" s="1">
        <v>106.4</v>
      </c>
    </row>
    <row r="12" spans="1:4">
      <c r="A12" t="s">
        <v>32</v>
      </c>
      <c r="B12">
        <v>2013</v>
      </c>
      <c r="C12" t="s">
        <v>36</v>
      </c>
      <c r="D12" s="1">
        <v>105.7</v>
      </c>
    </row>
    <row r="13" spans="1:4">
      <c r="A13" t="s">
        <v>33</v>
      </c>
      <c r="B13">
        <v>2013</v>
      </c>
      <c r="C13" t="s">
        <v>36</v>
      </c>
      <c r="D13" s="1">
        <v>106.1</v>
      </c>
    </row>
    <row r="14" spans="1:4">
      <c r="A14" t="s">
        <v>30</v>
      </c>
      <c r="B14">
        <v>2013</v>
      </c>
      <c r="C14" t="s">
        <v>37</v>
      </c>
      <c r="D14" s="1">
        <v>107.2</v>
      </c>
    </row>
    <row r="15" spans="1:4">
      <c r="A15" t="s">
        <v>32</v>
      </c>
      <c r="B15">
        <v>2013</v>
      </c>
      <c r="C15" t="s">
        <v>37</v>
      </c>
      <c r="D15" s="1">
        <v>106.6</v>
      </c>
    </row>
    <row r="16" spans="1:4">
      <c r="A16" t="s">
        <v>33</v>
      </c>
      <c r="B16">
        <v>2013</v>
      </c>
      <c r="C16" t="s">
        <v>37</v>
      </c>
      <c r="D16" s="1">
        <v>106.9</v>
      </c>
    </row>
    <row r="17" spans="1:4">
      <c r="A17" t="s">
        <v>30</v>
      </c>
      <c r="B17">
        <v>2013</v>
      </c>
      <c r="C17" t="s">
        <v>38</v>
      </c>
      <c r="D17" s="1">
        <v>108.9</v>
      </c>
    </row>
    <row r="18" spans="1:4">
      <c r="A18" t="s">
        <v>32</v>
      </c>
      <c r="B18">
        <v>2013</v>
      </c>
      <c r="C18" t="s">
        <v>38</v>
      </c>
      <c r="D18" s="1">
        <v>109.7</v>
      </c>
    </row>
    <row r="19" spans="1:4">
      <c r="A19" t="s">
        <v>33</v>
      </c>
      <c r="B19">
        <v>2013</v>
      </c>
      <c r="C19" t="s">
        <v>38</v>
      </c>
      <c r="D19" s="1">
        <v>109.3</v>
      </c>
    </row>
    <row r="20" spans="1:4">
      <c r="A20" t="s">
        <v>30</v>
      </c>
      <c r="B20">
        <v>2013</v>
      </c>
      <c r="C20" t="s">
        <v>39</v>
      </c>
      <c r="D20" s="1">
        <v>110.7</v>
      </c>
    </row>
    <row r="21" spans="1:4">
      <c r="A21" t="s">
        <v>32</v>
      </c>
      <c r="B21">
        <v>2013</v>
      </c>
      <c r="C21" t="s">
        <v>39</v>
      </c>
      <c r="D21" s="1">
        <v>111.4</v>
      </c>
    </row>
    <row r="22" spans="1:4">
      <c r="A22" t="s">
        <v>33</v>
      </c>
      <c r="B22">
        <v>2013</v>
      </c>
      <c r="C22" t="s">
        <v>39</v>
      </c>
      <c r="D22" s="1">
        <v>111</v>
      </c>
    </row>
    <row r="23" spans="1:4">
      <c r="A23" t="s">
        <v>30</v>
      </c>
      <c r="B23">
        <v>2013</v>
      </c>
      <c r="C23" t="s">
        <v>40</v>
      </c>
      <c r="D23" s="1">
        <v>112.1</v>
      </c>
    </row>
    <row r="24" spans="1:4">
      <c r="A24" t="s">
        <v>32</v>
      </c>
      <c r="B24">
        <v>2013</v>
      </c>
      <c r="C24" t="s">
        <v>40</v>
      </c>
      <c r="D24" s="1">
        <v>112.7</v>
      </c>
    </row>
    <row r="25" spans="1:4">
      <c r="A25" t="s">
        <v>33</v>
      </c>
      <c r="B25">
        <v>2013</v>
      </c>
      <c r="C25" t="s">
        <v>40</v>
      </c>
      <c r="D25" s="1">
        <v>112.4</v>
      </c>
    </row>
    <row r="26" spans="1:4">
      <c r="A26" t="s">
        <v>30</v>
      </c>
      <c r="B26">
        <v>2013</v>
      </c>
      <c r="C26" t="s">
        <v>41</v>
      </c>
      <c r="D26" s="1">
        <v>114.2</v>
      </c>
    </row>
    <row r="27" spans="1:4">
      <c r="A27" t="s">
        <v>32</v>
      </c>
      <c r="B27">
        <v>2013</v>
      </c>
      <c r="C27" t="s">
        <v>41</v>
      </c>
      <c r="D27" s="1">
        <v>113.2</v>
      </c>
    </row>
    <row r="28" spans="1:4">
      <c r="A28" t="s">
        <v>33</v>
      </c>
      <c r="B28">
        <v>2013</v>
      </c>
      <c r="C28" t="s">
        <v>41</v>
      </c>
      <c r="D28" s="1">
        <v>113.7</v>
      </c>
    </row>
    <row r="29" spans="1:4">
      <c r="A29" t="s">
        <v>30</v>
      </c>
      <c r="B29">
        <v>2013</v>
      </c>
      <c r="C29" t="s">
        <v>42</v>
      </c>
      <c r="D29" s="1">
        <v>115.5</v>
      </c>
    </row>
    <row r="30" spans="1:4">
      <c r="A30" t="s">
        <v>32</v>
      </c>
      <c r="B30">
        <v>2013</v>
      </c>
      <c r="C30" t="s">
        <v>42</v>
      </c>
      <c r="D30" s="1">
        <v>114</v>
      </c>
    </row>
    <row r="31" spans="1:4">
      <c r="A31" t="s">
        <v>33</v>
      </c>
      <c r="B31">
        <v>2013</v>
      </c>
      <c r="C31" t="s">
        <v>42</v>
      </c>
      <c r="D31" s="1">
        <v>114.8</v>
      </c>
    </row>
    <row r="32" spans="1:4">
      <c r="A32" t="s">
        <v>30</v>
      </c>
      <c r="B32">
        <v>2013</v>
      </c>
      <c r="C32" t="s">
        <v>43</v>
      </c>
      <c r="D32" s="1">
        <v>117.4</v>
      </c>
    </row>
    <row r="33" spans="1:4">
      <c r="A33" t="s">
        <v>32</v>
      </c>
      <c r="B33">
        <v>2013</v>
      </c>
      <c r="C33" t="s">
        <v>44</v>
      </c>
      <c r="D33" s="1">
        <v>115</v>
      </c>
    </row>
    <row r="34" spans="1:4">
      <c r="A34" t="s">
        <v>33</v>
      </c>
      <c r="B34">
        <v>2013</v>
      </c>
      <c r="C34" t="s">
        <v>44</v>
      </c>
      <c r="D34" s="1">
        <v>116.3</v>
      </c>
    </row>
    <row r="35" spans="1:4">
      <c r="A35" t="s">
        <v>30</v>
      </c>
      <c r="B35">
        <v>2013</v>
      </c>
      <c r="C35" t="s">
        <v>45</v>
      </c>
      <c r="D35" s="1">
        <v>115.5</v>
      </c>
    </row>
    <row r="36" spans="1:4">
      <c r="A36" t="s">
        <v>32</v>
      </c>
      <c r="B36">
        <v>2013</v>
      </c>
      <c r="C36" t="s">
        <v>45</v>
      </c>
      <c r="D36" s="1">
        <v>113.3</v>
      </c>
    </row>
    <row r="37" spans="1:4">
      <c r="A37" t="s">
        <v>33</v>
      </c>
      <c r="B37">
        <v>2013</v>
      </c>
      <c r="C37" t="s">
        <v>45</v>
      </c>
      <c r="D37" s="1">
        <v>114.5</v>
      </c>
    </row>
    <row r="38" spans="1:4">
      <c r="A38" t="s">
        <v>30</v>
      </c>
      <c r="B38">
        <v>2014</v>
      </c>
      <c r="C38" t="s">
        <v>31</v>
      </c>
      <c r="D38" s="1">
        <v>114.2</v>
      </c>
    </row>
    <row r="39" spans="1:4">
      <c r="A39" t="s">
        <v>32</v>
      </c>
      <c r="B39">
        <v>2014</v>
      </c>
      <c r="C39" t="s">
        <v>31</v>
      </c>
      <c r="D39" s="1">
        <v>112.9</v>
      </c>
    </row>
    <row r="40" spans="1:4">
      <c r="A40" t="s">
        <v>33</v>
      </c>
      <c r="B40">
        <v>2014</v>
      </c>
      <c r="C40" t="s">
        <v>31</v>
      </c>
      <c r="D40" s="1">
        <v>113.6</v>
      </c>
    </row>
    <row r="41" spans="1:4">
      <c r="A41" t="s">
        <v>30</v>
      </c>
      <c r="B41">
        <v>2014</v>
      </c>
      <c r="C41" t="s">
        <v>34</v>
      </c>
      <c r="D41" s="1">
        <v>114</v>
      </c>
    </row>
    <row r="42" spans="1:4">
      <c r="A42" t="s">
        <v>32</v>
      </c>
      <c r="B42">
        <v>2014</v>
      </c>
      <c r="C42" t="s">
        <v>34</v>
      </c>
      <c r="D42" s="1">
        <v>113.1</v>
      </c>
    </row>
    <row r="43" spans="1:4">
      <c r="A43" t="s">
        <v>33</v>
      </c>
      <c r="B43">
        <v>2014</v>
      </c>
      <c r="C43" t="s">
        <v>34</v>
      </c>
      <c r="D43" s="1">
        <v>113.6</v>
      </c>
    </row>
    <row r="44" spans="1:4">
      <c r="A44" t="s">
        <v>30</v>
      </c>
      <c r="B44">
        <v>2014</v>
      </c>
      <c r="C44" t="s">
        <v>35</v>
      </c>
      <c r="D44" s="1">
        <v>114.6</v>
      </c>
    </row>
    <row r="45" spans="1:4">
      <c r="A45" t="s">
        <v>32</v>
      </c>
      <c r="B45">
        <v>2014</v>
      </c>
      <c r="C45" t="s">
        <v>35</v>
      </c>
      <c r="D45" s="1">
        <v>113.7</v>
      </c>
    </row>
    <row r="46" spans="1:4">
      <c r="A46" t="s">
        <v>33</v>
      </c>
      <c r="B46">
        <v>2014</v>
      </c>
      <c r="C46" t="s">
        <v>35</v>
      </c>
      <c r="D46" s="1">
        <v>114.2</v>
      </c>
    </row>
    <row r="47" spans="1:4">
      <c r="A47" t="s">
        <v>30</v>
      </c>
      <c r="B47">
        <v>2014</v>
      </c>
      <c r="C47" t="s">
        <v>36</v>
      </c>
      <c r="D47" s="1">
        <v>115.4</v>
      </c>
    </row>
    <row r="48" spans="1:4">
      <c r="A48" t="s">
        <v>32</v>
      </c>
      <c r="B48">
        <v>2014</v>
      </c>
      <c r="C48" t="s">
        <v>36</v>
      </c>
      <c r="D48" s="1">
        <v>114.7</v>
      </c>
    </row>
    <row r="49" spans="1:4">
      <c r="A49" t="s">
        <v>33</v>
      </c>
      <c r="B49">
        <v>2014</v>
      </c>
      <c r="C49" t="s">
        <v>36</v>
      </c>
      <c r="D49" s="1">
        <v>115.1</v>
      </c>
    </row>
    <row r="50" spans="1:4">
      <c r="A50" t="s">
        <v>30</v>
      </c>
      <c r="B50">
        <v>2014</v>
      </c>
      <c r="C50" t="s">
        <v>37</v>
      </c>
      <c r="D50" s="1">
        <v>116</v>
      </c>
    </row>
    <row r="51" spans="1:4">
      <c r="A51" t="s">
        <v>32</v>
      </c>
      <c r="B51">
        <v>2014</v>
      </c>
      <c r="C51" t="s">
        <v>37</v>
      </c>
      <c r="D51" s="1">
        <v>115.6</v>
      </c>
    </row>
    <row r="52" spans="1:4">
      <c r="A52" t="s">
        <v>33</v>
      </c>
      <c r="B52">
        <v>2014</v>
      </c>
      <c r="C52" t="s">
        <v>37</v>
      </c>
      <c r="D52" s="1">
        <v>115.8</v>
      </c>
    </row>
    <row r="53" spans="1:4">
      <c r="A53" t="s">
        <v>30</v>
      </c>
      <c r="B53">
        <v>2014</v>
      </c>
      <c r="C53" t="s">
        <v>38</v>
      </c>
      <c r="D53" s="1">
        <v>117</v>
      </c>
    </row>
    <row r="54" spans="1:4">
      <c r="A54" t="s">
        <v>32</v>
      </c>
      <c r="B54">
        <v>2014</v>
      </c>
      <c r="C54" t="s">
        <v>38</v>
      </c>
      <c r="D54" s="1">
        <v>116.4</v>
      </c>
    </row>
    <row r="55" spans="1:4">
      <c r="A55" t="s">
        <v>33</v>
      </c>
      <c r="B55">
        <v>2014</v>
      </c>
      <c r="C55" t="s">
        <v>38</v>
      </c>
      <c r="D55" s="1">
        <v>116.7</v>
      </c>
    </row>
    <row r="56" spans="1:4">
      <c r="A56" t="s">
        <v>30</v>
      </c>
      <c r="B56">
        <v>2014</v>
      </c>
      <c r="C56" t="s">
        <v>39</v>
      </c>
      <c r="D56" s="1">
        <v>119.5</v>
      </c>
    </row>
    <row r="57" spans="1:4">
      <c r="A57" t="s">
        <v>32</v>
      </c>
      <c r="B57">
        <v>2014</v>
      </c>
      <c r="C57" t="s">
        <v>39</v>
      </c>
      <c r="D57" s="1">
        <v>118.9</v>
      </c>
    </row>
    <row r="58" spans="1:4">
      <c r="A58" t="s">
        <v>33</v>
      </c>
      <c r="B58">
        <v>2014</v>
      </c>
      <c r="C58" t="s">
        <v>39</v>
      </c>
      <c r="D58" s="1">
        <v>119.2</v>
      </c>
    </row>
    <row r="59" spans="1:4">
      <c r="A59" t="s">
        <v>30</v>
      </c>
      <c r="B59">
        <v>2014</v>
      </c>
      <c r="C59" t="s">
        <v>40</v>
      </c>
      <c r="D59" s="1">
        <v>120.7</v>
      </c>
    </row>
    <row r="60" spans="1:4">
      <c r="A60" t="s">
        <v>32</v>
      </c>
      <c r="B60">
        <v>2014</v>
      </c>
      <c r="C60" t="s">
        <v>40</v>
      </c>
      <c r="D60" s="1">
        <v>119.9</v>
      </c>
    </row>
    <row r="61" spans="1:4">
      <c r="A61" t="s">
        <v>33</v>
      </c>
      <c r="B61">
        <v>2014</v>
      </c>
      <c r="C61" t="s">
        <v>40</v>
      </c>
      <c r="D61" s="1">
        <v>120.3</v>
      </c>
    </row>
    <row r="62" spans="1:4">
      <c r="A62" t="s">
        <v>30</v>
      </c>
      <c r="B62">
        <v>2014</v>
      </c>
      <c r="C62" t="s">
        <v>41</v>
      </c>
      <c r="D62" s="1">
        <v>120.9</v>
      </c>
    </row>
    <row r="63" spans="1:4">
      <c r="A63" t="s">
        <v>32</v>
      </c>
      <c r="B63">
        <v>2014</v>
      </c>
      <c r="C63" t="s">
        <v>41</v>
      </c>
      <c r="D63" s="1">
        <v>119.2</v>
      </c>
    </row>
    <row r="64" spans="1:4">
      <c r="A64" t="s">
        <v>33</v>
      </c>
      <c r="B64">
        <v>2014</v>
      </c>
      <c r="C64" t="s">
        <v>41</v>
      </c>
      <c r="D64" s="1">
        <v>120.1</v>
      </c>
    </row>
    <row r="65" spans="1:4">
      <c r="A65" t="s">
        <v>30</v>
      </c>
      <c r="B65">
        <v>2014</v>
      </c>
      <c r="C65" t="s">
        <v>42</v>
      </c>
      <c r="D65" s="1">
        <v>121</v>
      </c>
    </row>
    <row r="66" spans="1:4">
      <c r="A66" t="s">
        <v>32</v>
      </c>
      <c r="B66">
        <v>2014</v>
      </c>
      <c r="C66" t="s">
        <v>42</v>
      </c>
      <c r="D66" s="1">
        <v>119.1</v>
      </c>
    </row>
    <row r="67" spans="1:4">
      <c r="A67" t="s">
        <v>33</v>
      </c>
      <c r="B67">
        <v>2014</v>
      </c>
      <c r="C67" t="s">
        <v>42</v>
      </c>
      <c r="D67" s="1">
        <v>120.1</v>
      </c>
    </row>
    <row r="68" spans="1:4">
      <c r="A68" t="s">
        <v>30</v>
      </c>
      <c r="B68">
        <v>2014</v>
      </c>
      <c r="C68" t="s">
        <v>44</v>
      </c>
      <c r="D68" s="1">
        <v>121.1</v>
      </c>
    </row>
    <row r="69" spans="1:4">
      <c r="A69" t="s">
        <v>32</v>
      </c>
      <c r="B69">
        <v>2014</v>
      </c>
      <c r="C69" t="s">
        <v>44</v>
      </c>
      <c r="D69" s="1">
        <v>119</v>
      </c>
    </row>
    <row r="70" spans="1:4">
      <c r="A70" t="s">
        <v>33</v>
      </c>
      <c r="B70">
        <v>2014</v>
      </c>
      <c r="C70" t="s">
        <v>44</v>
      </c>
      <c r="D70" s="1">
        <v>120.1</v>
      </c>
    </row>
    <row r="71" spans="1:4">
      <c r="A71" t="s">
        <v>30</v>
      </c>
      <c r="B71">
        <v>2014</v>
      </c>
      <c r="C71" t="s">
        <v>45</v>
      </c>
      <c r="D71" s="1">
        <v>120.3</v>
      </c>
    </row>
    <row r="72" spans="1:4">
      <c r="A72" t="s">
        <v>32</v>
      </c>
      <c r="B72">
        <v>2014</v>
      </c>
      <c r="C72" t="s">
        <v>45</v>
      </c>
      <c r="D72" s="1">
        <v>118.4</v>
      </c>
    </row>
    <row r="73" spans="1:4">
      <c r="A73" t="s">
        <v>33</v>
      </c>
      <c r="B73">
        <v>2014</v>
      </c>
      <c r="C73" t="s">
        <v>45</v>
      </c>
      <c r="D73" s="1">
        <v>119.4</v>
      </c>
    </row>
    <row r="74" spans="1:4">
      <c r="A74" t="s">
        <v>30</v>
      </c>
      <c r="B74">
        <v>2015</v>
      </c>
      <c r="C74" t="s">
        <v>31</v>
      </c>
      <c r="D74" s="1">
        <v>120.3</v>
      </c>
    </row>
    <row r="75" spans="1:4">
      <c r="A75" t="s">
        <v>32</v>
      </c>
      <c r="B75">
        <v>2015</v>
      </c>
      <c r="C75" t="s">
        <v>31</v>
      </c>
      <c r="D75" s="1">
        <v>118.5</v>
      </c>
    </row>
    <row r="76" spans="1:4">
      <c r="A76" t="s">
        <v>33</v>
      </c>
      <c r="B76">
        <v>2015</v>
      </c>
      <c r="C76" t="s">
        <v>31</v>
      </c>
      <c r="D76" s="1">
        <v>119.5</v>
      </c>
    </row>
    <row r="77" spans="1:4">
      <c r="A77" t="s">
        <v>30</v>
      </c>
      <c r="B77">
        <v>2015</v>
      </c>
      <c r="C77" t="s">
        <v>34</v>
      </c>
      <c r="D77" s="1">
        <v>120.6</v>
      </c>
    </row>
    <row r="78" spans="1:4">
      <c r="A78" t="s">
        <v>32</v>
      </c>
      <c r="B78">
        <v>2015</v>
      </c>
      <c r="C78" t="s">
        <v>34</v>
      </c>
      <c r="D78" s="1">
        <v>118.7</v>
      </c>
    </row>
    <row r="79" spans="1:4">
      <c r="A79" t="s">
        <v>33</v>
      </c>
      <c r="B79">
        <v>2015</v>
      </c>
      <c r="C79" t="s">
        <v>34</v>
      </c>
      <c r="D79" s="1">
        <v>119.7</v>
      </c>
    </row>
    <row r="80" spans="1:4">
      <c r="A80" t="s">
        <v>30</v>
      </c>
      <c r="B80">
        <v>2015</v>
      </c>
      <c r="C80" t="s">
        <v>35</v>
      </c>
      <c r="D80" s="1">
        <v>121.1</v>
      </c>
    </row>
    <row r="81" spans="1:4">
      <c r="A81" t="s">
        <v>32</v>
      </c>
      <c r="B81">
        <v>2015</v>
      </c>
      <c r="C81" t="s">
        <v>35</v>
      </c>
      <c r="D81" s="1">
        <v>119.1</v>
      </c>
    </row>
    <row r="82" spans="1:4">
      <c r="A82" t="s">
        <v>33</v>
      </c>
      <c r="B82">
        <v>2015</v>
      </c>
      <c r="C82" t="s">
        <v>35</v>
      </c>
      <c r="D82" s="1">
        <v>120.2</v>
      </c>
    </row>
    <row r="83" spans="1:4">
      <c r="A83" t="s">
        <v>30</v>
      </c>
      <c r="B83">
        <v>2015</v>
      </c>
      <c r="C83" t="s">
        <v>36</v>
      </c>
      <c r="D83" s="1">
        <v>121.5</v>
      </c>
    </row>
    <row r="84" spans="1:4">
      <c r="A84" t="s">
        <v>32</v>
      </c>
      <c r="B84">
        <v>2015</v>
      </c>
      <c r="C84" t="s">
        <v>36</v>
      </c>
      <c r="D84" s="1">
        <v>119.7</v>
      </c>
    </row>
    <row r="85" spans="1:4">
      <c r="A85" t="s">
        <v>33</v>
      </c>
      <c r="B85">
        <v>2015</v>
      </c>
      <c r="C85" t="s">
        <v>36</v>
      </c>
      <c r="D85" s="1">
        <v>120.7</v>
      </c>
    </row>
    <row r="86" spans="1:4">
      <c r="A86" t="s">
        <v>30</v>
      </c>
      <c r="B86">
        <v>2015</v>
      </c>
      <c r="C86" t="s">
        <v>37</v>
      </c>
      <c r="D86" s="1">
        <v>122.4</v>
      </c>
    </row>
    <row r="87" spans="1:4">
      <c r="A87" t="s">
        <v>32</v>
      </c>
      <c r="B87">
        <v>2015</v>
      </c>
      <c r="C87" t="s">
        <v>37</v>
      </c>
      <c r="D87" s="1">
        <v>120.7</v>
      </c>
    </row>
    <row r="88" spans="1:4">
      <c r="A88" t="s">
        <v>33</v>
      </c>
      <c r="B88">
        <v>2015</v>
      </c>
      <c r="C88" t="s">
        <v>37</v>
      </c>
      <c r="D88" s="1">
        <v>121.6</v>
      </c>
    </row>
    <row r="89" spans="1:4">
      <c r="A89" t="s">
        <v>30</v>
      </c>
      <c r="B89">
        <v>2015</v>
      </c>
      <c r="C89" t="s">
        <v>38</v>
      </c>
      <c r="D89" s="1">
        <v>124.1</v>
      </c>
    </row>
    <row r="90" spans="1:4">
      <c r="A90" t="s">
        <v>32</v>
      </c>
      <c r="B90">
        <v>2015</v>
      </c>
      <c r="C90" t="s">
        <v>38</v>
      </c>
      <c r="D90" s="1">
        <v>121.7</v>
      </c>
    </row>
    <row r="91" spans="1:4">
      <c r="A91" t="s">
        <v>33</v>
      </c>
      <c r="B91">
        <v>2015</v>
      </c>
      <c r="C91" t="s">
        <v>38</v>
      </c>
      <c r="D91" s="1">
        <v>123</v>
      </c>
    </row>
    <row r="92" spans="1:4">
      <c r="A92" t="s">
        <v>30</v>
      </c>
      <c r="B92">
        <v>2015</v>
      </c>
      <c r="C92" t="s">
        <v>39</v>
      </c>
      <c r="D92" s="1">
        <v>124.7</v>
      </c>
    </row>
    <row r="93" spans="1:4">
      <c r="A93" t="s">
        <v>32</v>
      </c>
      <c r="B93">
        <v>2015</v>
      </c>
      <c r="C93" t="s">
        <v>39</v>
      </c>
      <c r="D93" s="1">
        <v>122.4</v>
      </c>
    </row>
    <row r="94" spans="1:4">
      <c r="A94" t="s">
        <v>33</v>
      </c>
      <c r="B94">
        <v>2015</v>
      </c>
      <c r="C94" t="s">
        <v>39</v>
      </c>
      <c r="D94" s="1">
        <v>123.6</v>
      </c>
    </row>
    <row r="95" spans="1:4">
      <c r="A95" t="s">
        <v>30</v>
      </c>
      <c r="B95">
        <v>2015</v>
      </c>
      <c r="C95" t="s">
        <v>40</v>
      </c>
      <c r="D95" s="1">
        <v>126.1</v>
      </c>
    </row>
    <row r="96" spans="1:4">
      <c r="A96" t="s">
        <v>32</v>
      </c>
      <c r="B96">
        <v>2015</v>
      </c>
      <c r="C96" t="s">
        <v>40</v>
      </c>
      <c r="D96" s="1">
        <v>123.2</v>
      </c>
    </row>
    <row r="97" spans="1:4">
      <c r="A97" t="s">
        <v>33</v>
      </c>
      <c r="B97">
        <v>2015</v>
      </c>
      <c r="C97" t="s">
        <v>40</v>
      </c>
      <c r="D97" s="1">
        <v>124.8</v>
      </c>
    </row>
    <row r="98" spans="1:4">
      <c r="A98" t="s">
        <v>30</v>
      </c>
      <c r="B98">
        <v>2015</v>
      </c>
      <c r="C98" t="s">
        <v>41</v>
      </c>
      <c r="D98" s="1">
        <v>127</v>
      </c>
    </row>
    <row r="99" spans="1:4">
      <c r="A99" t="s">
        <v>32</v>
      </c>
      <c r="B99">
        <v>2015</v>
      </c>
      <c r="C99" t="s">
        <v>41</v>
      </c>
      <c r="D99" s="1">
        <v>123.5</v>
      </c>
    </row>
    <row r="100" spans="1:4">
      <c r="A100" t="s">
        <v>33</v>
      </c>
      <c r="B100">
        <v>2015</v>
      </c>
      <c r="C100" t="s">
        <v>41</v>
      </c>
      <c r="D100" s="1">
        <v>125.4</v>
      </c>
    </row>
    <row r="101" spans="1:4">
      <c r="A101" t="s">
        <v>30</v>
      </c>
      <c r="B101">
        <v>2015</v>
      </c>
      <c r="C101" t="s">
        <v>42</v>
      </c>
      <c r="D101" s="1">
        <v>127.7</v>
      </c>
    </row>
    <row r="102" spans="1:4">
      <c r="A102" t="s">
        <v>32</v>
      </c>
      <c r="B102">
        <v>2015</v>
      </c>
      <c r="C102" t="s">
        <v>42</v>
      </c>
      <c r="D102" s="1">
        <v>124.2</v>
      </c>
    </row>
    <row r="103" spans="1:4">
      <c r="A103" t="s">
        <v>33</v>
      </c>
      <c r="B103">
        <v>2015</v>
      </c>
      <c r="C103" t="s">
        <v>42</v>
      </c>
      <c r="D103" s="1">
        <v>126.1</v>
      </c>
    </row>
    <row r="104" spans="1:4">
      <c r="A104" t="s">
        <v>30</v>
      </c>
      <c r="B104">
        <v>2015</v>
      </c>
      <c r="C104" t="s">
        <v>44</v>
      </c>
      <c r="D104" s="1">
        <v>128.30000000000001</v>
      </c>
    </row>
    <row r="105" spans="1:4">
      <c r="A105" t="s">
        <v>32</v>
      </c>
      <c r="B105">
        <v>2015</v>
      </c>
      <c r="C105" t="s">
        <v>44</v>
      </c>
      <c r="D105" s="1">
        <v>124.6</v>
      </c>
    </row>
    <row r="106" spans="1:4">
      <c r="A106" t="s">
        <v>33</v>
      </c>
      <c r="B106">
        <v>2015</v>
      </c>
      <c r="C106" t="s">
        <v>44</v>
      </c>
      <c r="D106" s="1">
        <v>126.6</v>
      </c>
    </row>
    <row r="107" spans="1:4">
      <c r="A107" t="s">
        <v>30</v>
      </c>
      <c r="B107">
        <v>2015</v>
      </c>
      <c r="C107" t="s">
        <v>45</v>
      </c>
      <c r="D107" s="1">
        <v>127.9</v>
      </c>
    </row>
    <row r="108" spans="1:4">
      <c r="A108" t="s">
        <v>32</v>
      </c>
      <c r="B108">
        <v>2015</v>
      </c>
      <c r="C108" t="s">
        <v>45</v>
      </c>
      <c r="D108" s="1">
        <v>124</v>
      </c>
    </row>
    <row r="109" spans="1:4">
      <c r="A109" t="s">
        <v>33</v>
      </c>
      <c r="B109">
        <v>2015</v>
      </c>
      <c r="C109" t="s">
        <v>45</v>
      </c>
      <c r="D109" s="1">
        <v>126.1</v>
      </c>
    </row>
    <row r="110" spans="1:4">
      <c r="A110" t="s">
        <v>30</v>
      </c>
      <c r="B110">
        <v>2016</v>
      </c>
      <c r="C110" t="s">
        <v>31</v>
      </c>
      <c r="D110" s="1">
        <v>128.1</v>
      </c>
    </row>
    <row r="111" spans="1:4">
      <c r="A111" t="s">
        <v>32</v>
      </c>
      <c r="B111">
        <v>2016</v>
      </c>
      <c r="C111" t="s">
        <v>31</v>
      </c>
      <c r="D111" s="1">
        <v>124.2</v>
      </c>
    </row>
    <row r="112" spans="1:4">
      <c r="A112" t="s">
        <v>33</v>
      </c>
      <c r="B112">
        <v>2016</v>
      </c>
      <c r="C112" t="s">
        <v>31</v>
      </c>
      <c r="D112" s="1">
        <v>126.3</v>
      </c>
    </row>
    <row r="113" spans="1:4">
      <c r="A113" t="s">
        <v>30</v>
      </c>
      <c r="B113">
        <v>2016</v>
      </c>
      <c r="C113" t="s">
        <v>34</v>
      </c>
      <c r="D113" s="1">
        <v>127.9</v>
      </c>
    </row>
    <row r="114" spans="1:4">
      <c r="A114" t="s">
        <v>32</v>
      </c>
      <c r="B114">
        <v>2016</v>
      </c>
      <c r="C114" t="s">
        <v>34</v>
      </c>
      <c r="D114" s="1">
        <v>123.8</v>
      </c>
    </row>
    <row r="115" spans="1:4">
      <c r="A115" t="s">
        <v>33</v>
      </c>
      <c r="B115">
        <v>2016</v>
      </c>
      <c r="C115" t="s">
        <v>34</v>
      </c>
      <c r="D115" s="1">
        <v>126</v>
      </c>
    </row>
    <row r="116" spans="1:4">
      <c r="A116" t="s">
        <v>30</v>
      </c>
      <c r="B116">
        <v>2016</v>
      </c>
      <c r="C116" t="s">
        <v>35</v>
      </c>
      <c r="D116" s="1">
        <v>128</v>
      </c>
    </row>
    <row r="117" spans="1:4">
      <c r="A117" t="s">
        <v>32</v>
      </c>
      <c r="B117">
        <v>2016</v>
      </c>
      <c r="C117" t="s">
        <v>35</v>
      </c>
      <c r="D117" s="1">
        <v>123.8</v>
      </c>
    </row>
    <row r="118" spans="1:4">
      <c r="A118" t="s">
        <v>33</v>
      </c>
      <c r="B118">
        <v>2016</v>
      </c>
      <c r="C118" t="s">
        <v>35</v>
      </c>
      <c r="D118" s="1">
        <v>126</v>
      </c>
    </row>
    <row r="119" spans="1:4">
      <c r="A119" t="s">
        <v>30</v>
      </c>
      <c r="B119">
        <v>2016</v>
      </c>
      <c r="C119" t="s">
        <v>36</v>
      </c>
      <c r="D119" s="1">
        <v>129</v>
      </c>
    </row>
    <row r="120" spans="1:4">
      <c r="A120" t="s">
        <v>32</v>
      </c>
      <c r="B120">
        <v>2016</v>
      </c>
      <c r="C120" t="s">
        <v>36</v>
      </c>
      <c r="D120" s="1">
        <v>125.3</v>
      </c>
    </row>
    <row r="121" spans="1:4">
      <c r="A121" t="s">
        <v>33</v>
      </c>
      <c r="B121">
        <v>2016</v>
      </c>
      <c r="C121" t="s">
        <v>36</v>
      </c>
      <c r="D121" s="1">
        <v>127.3</v>
      </c>
    </row>
    <row r="122" spans="1:4">
      <c r="A122" t="s">
        <v>30</v>
      </c>
      <c r="B122">
        <v>2016</v>
      </c>
      <c r="C122" t="s">
        <v>37</v>
      </c>
      <c r="D122" s="1">
        <v>130.30000000000001</v>
      </c>
    </row>
    <row r="123" spans="1:4">
      <c r="A123" t="s">
        <v>32</v>
      </c>
      <c r="B123">
        <v>2016</v>
      </c>
      <c r="C123" t="s">
        <v>37</v>
      </c>
      <c r="D123" s="1">
        <v>126.6</v>
      </c>
    </row>
    <row r="124" spans="1:4">
      <c r="A124" t="s">
        <v>33</v>
      </c>
      <c r="B124">
        <v>2016</v>
      </c>
      <c r="C124" t="s">
        <v>37</v>
      </c>
      <c r="D124" s="1">
        <v>128.6</v>
      </c>
    </row>
    <row r="125" spans="1:4">
      <c r="A125" t="s">
        <v>30</v>
      </c>
      <c r="B125">
        <v>2016</v>
      </c>
      <c r="C125" t="s">
        <v>38</v>
      </c>
      <c r="D125" s="1">
        <v>131.9</v>
      </c>
    </row>
    <row r="126" spans="1:4">
      <c r="A126" t="s">
        <v>32</v>
      </c>
      <c r="B126">
        <v>2016</v>
      </c>
      <c r="C126" t="s">
        <v>38</v>
      </c>
      <c r="D126" s="1">
        <v>128.1</v>
      </c>
    </row>
    <row r="127" spans="1:4">
      <c r="A127" t="s">
        <v>33</v>
      </c>
      <c r="B127">
        <v>2016</v>
      </c>
      <c r="C127" t="s">
        <v>38</v>
      </c>
      <c r="D127" s="1">
        <v>130.1</v>
      </c>
    </row>
    <row r="128" spans="1:4">
      <c r="A128" t="s">
        <v>30</v>
      </c>
      <c r="B128">
        <v>2016</v>
      </c>
      <c r="C128" t="s">
        <v>39</v>
      </c>
      <c r="D128" s="1">
        <v>133</v>
      </c>
    </row>
    <row r="129" spans="1:4">
      <c r="A129" t="s">
        <v>32</v>
      </c>
      <c r="B129">
        <v>2016</v>
      </c>
      <c r="C129" t="s">
        <v>39</v>
      </c>
      <c r="D129" s="1">
        <v>129</v>
      </c>
    </row>
    <row r="130" spans="1:4">
      <c r="A130" t="s">
        <v>33</v>
      </c>
      <c r="B130">
        <v>2016</v>
      </c>
      <c r="C130" t="s">
        <v>39</v>
      </c>
      <c r="D130" s="1">
        <v>131.1</v>
      </c>
    </row>
    <row r="131" spans="1:4">
      <c r="A131" t="s">
        <v>30</v>
      </c>
      <c r="B131">
        <v>2016</v>
      </c>
      <c r="C131" t="s">
        <v>40</v>
      </c>
      <c r="D131" s="1">
        <v>133.5</v>
      </c>
    </row>
    <row r="132" spans="1:4">
      <c r="A132" t="s">
        <v>32</v>
      </c>
      <c r="B132">
        <v>2016</v>
      </c>
      <c r="C132" t="s">
        <v>40</v>
      </c>
      <c r="D132" s="1">
        <v>128.4</v>
      </c>
    </row>
    <row r="133" spans="1:4">
      <c r="A133" t="s">
        <v>33</v>
      </c>
      <c r="B133">
        <v>2016</v>
      </c>
      <c r="C133" t="s">
        <v>40</v>
      </c>
      <c r="D133" s="1">
        <v>131.1</v>
      </c>
    </row>
    <row r="134" spans="1:4">
      <c r="A134" t="s">
        <v>30</v>
      </c>
      <c r="B134">
        <v>2016</v>
      </c>
      <c r="C134" t="s">
        <v>41</v>
      </c>
      <c r="D134" s="1">
        <v>133.4</v>
      </c>
    </row>
    <row r="135" spans="1:4">
      <c r="A135" t="s">
        <v>32</v>
      </c>
      <c r="B135">
        <v>2016</v>
      </c>
      <c r="C135" t="s">
        <v>41</v>
      </c>
      <c r="D135" s="1">
        <v>128</v>
      </c>
    </row>
    <row r="136" spans="1:4">
      <c r="A136" t="s">
        <v>33</v>
      </c>
      <c r="B136">
        <v>2016</v>
      </c>
      <c r="C136" t="s">
        <v>41</v>
      </c>
      <c r="D136" s="1">
        <v>130.9</v>
      </c>
    </row>
    <row r="137" spans="1:4">
      <c r="A137" t="s">
        <v>30</v>
      </c>
      <c r="B137">
        <v>2016</v>
      </c>
      <c r="C137" t="s">
        <v>42</v>
      </c>
      <c r="D137" s="1">
        <v>133.80000000000001</v>
      </c>
    </row>
    <row r="138" spans="1:4">
      <c r="A138" t="s">
        <v>32</v>
      </c>
      <c r="B138">
        <v>2016</v>
      </c>
      <c r="C138" t="s">
        <v>42</v>
      </c>
      <c r="D138" s="1">
        <v>128.6</v>
      </c>
    </row>
    <row r="139" spans="1:4">
      <c r="A139" t="s">
        <v>33</v>
      </c>
      <c r="B139">
        <v>2016</v>
      </c>
      <c r="C139" t="s">
        <v>42</v>
      </c>
      <c r="D139" s="1">
        <v>131.4</v>
      </c>
    </row>
    <row r="140" spans="1:4">
      <c r="A140" t="s">
        <v>30</v>
      </c>
      <c r="B140">
        <v>2016</v>
      </c>
      <c r="C140" t="s">
        <v>44</v>
      </c>
      <c r="D140" s="1">
        <v>133.6</v>
      </c>
    </row>
    <row r="141" spans="1:4">
      <c r="A141" t="s">
        <v>32</v>
      </c>
      <c r="B141">
        <v>2016</v>
      </c>
      <c r="C141" t="s">
        <v>44</v>
      </c>
      <c r="D141" s="1">
        <v>128.5</v>
      </c>
    </row>
    <row r="142" spans="1:4">
      <c r="A142" t="s">
        <v>33</v>
      </c>
      <c r="B142">
        <v>2016</v>
      </c>
      <c r="C142" t="s">
        <v>44</v>
      </c>
      <c r="D142" s="1">
        <v>131.19999999999999</v>
      </c>
    </row>
    <row r="143" spans="1:4">
      <c r="A143" t="s">
        <v>30</v>
      </c>
      <c r="B143">
        <v>2016</v>
      </c>
      <c r="C143" t="s">
        <v>45</v>
      </c>
      <c r="D143" s="1">
        <v>132.80000000000001</v>
      </c>
    </row>
    <row r="144" spans="1:4">
      <c r="A144" t="s">
        <v>32</v>
      </c>
      <c r="B144">
        <v>2016</v>
      </c>
      <c r="C144" t="s">
        <v>45</v>
      </c>
      <c r="D144" s="1">
        <v>127.6</v>
      </c>
    </row>
    <row r="145" spans="1:4">
      <c r="A145" t="s">
        <v>33</v>
      </c>
      <c r="B145">
        <v>2016</v>
      </c>
      <c r="C145" t="s">
        <v>45</v>
      </c>
      <c r="D145" s="1">
        <v>130.4</v>
      </c>
    </row>
    <row r="146" spans="1:4">
      <c r="A146" t="s">
        <v>30</v>
      </c>
      <c r="B146">
        <v>2017</v>
      </c>
      <c r="C146" t="s">
        <v>31</v>
      </c>
      <c r="D146" s="1">
        <v>132.4</v>
      </c>
    </row>
    <row r="147" spans="1:4">
      <c r="A147" t="s">
        <v>32</v>
      </c>
      <c r="B147">
        <v>2017</v>
      </c>
      <c r="C147" t="s">
        <v>31</v>
      </c>
      <c r="D147" s="1">
        <v>127.8</v>
      </c>
    </row>
    <row r="148" spans="1:4">
      <c r="A148" t="s">
        <v>33</v>
      </c>
      <c r="B148">
        <v>2017</v>
      </c>
      <c r="C148" t="s">
        <v>31</v>
      </c>
      <c r="D148" s="1">
        <v>130.30000000000001</v>
      </c>
    </row>
    <row r="149" spans="1:4">
      <c r="A149" t="s">
        <v>30</v>
      </c>
      <c r="B149">
        <v>2017</v>
      </c>
      <c r="C149" t="s">
        <v>34</v>
      </c>
      <c r="D149" s="1">
        <v>132.6</v>
      </c>
    </row>
    <row r="150" spans="1:4">
      <c r="A150" t="s">
        <v>32</v>
      </c>
      <c r="B150">
        <v>2017</v>
      </c>
      <c r="C150" t="s">
        <v>34</v>
      </c>
      <c r="D150" s="1">
        <v>128.19999999999999</v>
      </c>
    </row>
    <row r="151" spans="1:4">
      <c r="A151" t="s">
        <v>33</v>
      </c>
      <c r="B151">
        <v>2017</v>
      </c>
      <c r="C151" t="s">
        <v>34</v>
      </c>
      <c r="D151" s="1">
        <v>130.6</v>
      </c>
    </row>
    <row r="152" spans="1:4">
      <c r="A152" t="s">
        <v>30</v>
      </c>
      <c r="B152">
        <v>2017</v>
      </c>
      <c r="C152" t="s">
        <v>35</v>
      </c>
      <c r="D152" s="1">
        <v>132.80000000000001</v>
      </c>
    </row>
    <row r="153" spans="1:4">
      <c r="A153" t="s">
        <v>32</v>
      </c>
      <c r="B153">
        <v>2017</v>
      </c>
      <c r="C153" t="s">
        <v>35</v>
      </c>
      <c r="D153" s="1">
        <v>128.69999999999999</v>
      </c>
    </row>
    <row r="154" spans="1:4">
      <c r="A154" t="s">
        <v>33</v>
      </c>
      <c r="B154">
        <v>2017</v>
      </c>
      <c r="C154" t="s">
        <v>35</v>
      </c>
      <c r="D154" s="1">
        <v>130.9</v>
      </c>
    </row>
    <row r="155" spans="1:4">
      <c r="A155" t="s">
        <v>30</v>
      </c>
      <c r="B155">
        <v>2017</v>
      </c>
      <c r="C155" t="s">
        <v>36</v>
      </c>
      <c r="D155" s="1">
        <v>132.9</v>
      </c>
    </row>
    <row r="156" spans="1:4">
      <c r="A156" t="s">
        <v>32</v>
      </c>
      <c r="B156">
        <v>2017</v>
      </c>
      <c r="C156" t="s">
        <v>36</v>
      </c>
      <c r="D156" s="1">
        <v>129.1</v>
      </c>
    </row>
    <row r="157" spans="1:4">
      <c r="A157" t="s">
        <v>33</v>
      </c>
      <c r="B157">
        <v>2017</v>
      </c>
      <c r="C157" t="s">
        <v>36</v>
      </c>
      <c r="D157" s="1">
        <v>131.1</v>
      </c>
    </row>
    <row r="158" spans="1:4">
      <c r="A158" t="s">
        <v>30</v>
      </c>
      <c r="B158">
        <v>2017</v>
      </c>
      <c r="C158" t="s">
        <v>37</v>
      </c>
      <c r="D158" s="1">
        <v>133.30000000000001</v>
      </c>
    </row>
    <row r="159" spans="1:4">
      <c r="A159" t="s">
        <v>32</v>
      </c>
      <c r="B159">
        <v>2017</v>
      </c>
      <c r="C159" t="s">
        <v>37</v>
      </c>
      <c r="D159" s="1">
        <v>129.30000000000001</v>
      </c>
    </row>
    <row r="160" spans="1:4">
      <c r="A160" t="s">
        <v>33</v>
      </c>
      <c r="B160">
        <v>2017</v>
      </c>
      <c r="C160" t="s">
        <v>37</v>
      </c>
      <c r="D160" s="1">
        <v>131.4</v>
      </c>
    </row>
    <row r="161" spans="1:4">
      <c r="A161" t="s">
        <v>30</v>
      </c>
      <c r="B161">
        <v>2017</v>
      </c>
      <c r="C161" t="s">
        <v>38</v>
      </c>
      <c r="D161" s="1">
        <v>133.9</v>
      </c>
    </row>
    <row r="162" spans="1:4">
      <c r="A162" t="s">
        <v>32</v>
      </c>
      <c r="B162">
        <v>2017</v>
      </c>
      <c r="C162" t="s">
        <v>38</v>
      </c>
      <c r="D162" s="1">
        <v>129.9</v>
      </c>
    </row>
    <row r="163" spans="1:4">
      <c r="A163" t="s">
        <v>33</v>
      </c>
      <c r="B163">
        <v>2017</v>
      </c>
      <c r="C163" t="s">
        <v>38</v>
      </c>
      <c r="D163" s="1">
        <v>132</v>
      </c>
    </row>
    <row r="164" spans="1:4">
      <c r="A164" t="s">
        <v>30</v>
      </c>
      <c r="B164">
        <v>2017</v>
      </c>
      <c r="C164" t="s">
        <v>39</v>
      </c>
      <c r="D164" s="1">
        <v>136.19999999999999</v>
      </c>
    </row>
    <row r="165" spans="1:4">
      <c r="A165" t="s">
        <v>32</v>
      </c>
      <c r="B165">
        <v>2017</v>
      </c>
      <c r="C165" t="s">
        <v>39</v>
      </c>
      <c r="D165" s="1">
        <v>131.80000000000001</v>
      </c>
    </row>
    <row r="166" spans="1:4">
      <c r="A166" t="s">
        <v>33</v>
      </c>
      <c r="B166">
        <v>2017</v>
      </c>
      <c r="C166" t="s">
        <v>39</v>
      </c>
      <c r="D166" s="1">
        <v>134.19999999999999</v>
      </c>
    </row>
    <row r="167" spans="1:4">
      <c r="A167" t="s">
        <v>30</v>
      </c>
      <c r="B167">
        <v>2017</v>
      </c>
      <c r="C167" t="s">
        <v>40</v>
      </c>
      <c r="D167" s="1">
        <v>137.80000000000001</v>
      </c>
    </row>
    <row r="168" spans="1:4">
      <c r="A168" t="s">
        <v>32</v>
      </c>
      <c r="B168">
        <v>2017</v>
      </c>
      <c r="C168" t="s">
        <v>40</v>
      </c>
      <c r="D168" s="1">
        <v>132.69999999999999</v>
      </c>
    </row>
    <row r="169" spans="1:4">
      <c r="A169" t="s">
        <v>33</v>
      </c>
      <c r="B169">
        <v>2017</v>
      </c>
      <c r="C169" t="s">
        <v>40</v>
      </c>
      <c r="D169" s="1">
        <v>135.4</v>
      </c>
    </row>
    <row r="170" spans="1:4">
      <c r="A170" t="s">
        <v>30</v>
      </c>
      <c r="B170">
        <v>2017</v>
      </c>
      <c r="C170" t="s">
        <v>41</v>
      </c>
      <c r="D170" s="1">
        <v>137.6</v>
      </c>
    </row>
    <row r="171" spans="1:4">
      <c r="A171" t="s">
        <v>32</v>
      </c>
      <c r="B171">
        <v>2017</v>
      </c>
      <c r="C171" t="s">
        <v>41</v>
      </c>
      <c r="D171" s="1">
        <v>132.4</v>
      </c>
    </row>
    <row r="172" spans="1:4">
      <c r="A172" t="s">
        <v>33</v>
      </c>
      <c r="B172">
        <v>2017</v>
      </c>
      <c r="C172" t="s">
        <v>41</v>
      </c>
      <c r="D172" s="1">
        <v>135.19999999999999</v>
      </c>
    </row>
    <row r="173" spans="1:4">
      <c r="A173" t="s">
        <v>30</v>
      </c>
      <c r="B173">
        <v>2017</v>
      </c>
      <c r="C173" t="s">
        <v>42</v>
      </c>
      <c r="D173" s="1">
        <v>138.30000000000001</v>
      </c>
    </row>
    <row r="174" spans="1:4">
      <c r="A174" t="s">
        <v>32</v>
      </c>
      <c r="B174">
        <v>2017</v>
      </c>
      <c r="C174" t="s">
        <v>42</v>
      </c>
      <c r="D174" s="1">
        <v>133.5</v>
      </c>
    </row>
    <row r="175" spans="1:4">
      <c r="A175" t="s">
        <v>33</v>
      </c>
      <c r="B175">
        <v>2017</v>
      </c>
      <c r="C175" t="s">
        <v>42</v>
      </c>
      <c r="D175" s="1">
        <v>136.1</v>
      </c>
    </row>
    <row r="176" spans="1:4">
      <c r="A176" t="s">
        <v>30</v>
      </c>
      <c r="B176">
        <v>2017</v>
      </c>
      <c r="C176" t="s">
        <v>44</v>
      </c>
      <c r="D176" s="1">
        <v>140</v>
      </c>
    </row>
    <row r="177" spans="1:4">
      <c r="A177" t="s">
        <v>32</v>
      </c>
      <c r="B177">
        <v>2017</v>
      </c>
      <c r="C177" t="s">
        <v>44</v>
      </c>
      <c r="D177" s="1">
        <v>134.80000000000001</v>
      </c>
    </row>
    <row r="178" spans="1:4">
      <c r="A178" t="s">
        <v>33</v>
      </c>
      <c r="B178">
        <v>2017</v>
      </c>
      <c r="C178" t="s">
        <v>44</v>
      </c>
      <c r="D178" s="1">
        <v>137.6</v>
      </c>
    </row>
    <row r="179" spans="1:4">
      <c r="A179" t="s">
        <v>30</v>
      </c>
      <c r="B179">
        <v>2017</v>
      </c>
      <c r="C179" t="s">
        <v>45</v>
      </c>
      <c r="D179" s="1">
        <v>139.80000000000001</v>
      </c>
    </row>
    <row r="180" spans="1:4">
      <c r="A180" t="s">
        <v>32</v>
      </c>
      <c r="B180">
        <v>2017</v>
      </c>
      <c r="C180" t="s">
        <v>45</v>
      </c>
      <c r="D180" s="1">
        <v>134.1</v>
      </c>
    </row>
    <row r="181" spans="1:4">
      <c r="A181" t="s">
        <v>33</v>
      </c>
      <c r="B181">
        <v>2017</v>
      </c>
      <c r="C181" t="s">
        <v>45</v>
      </c>
      <c r="D181" s="1">
        <v>137.19999999999999</v>
      </c>
    </row>
    <row r="182" spans="1:4">
      <c r="A182" t="s">
        <v>30</v>
      </c>
      <c r="B182">
        <v>2018</v>
      </c>
      <c r="C182" t="s">
        <v>31</v>
      </c>
      <c r="D182" s="1">
        <v>139.30000000000001</v>
      </c>
    </row>
    <row r="183" spans="1:4">
      <c r="A183" t="s">
        <v>32</v>
      </c>
      <c r="B183">
        <v>2018</v>
      </c>
      <c r="C183" t="s">
        <v>31</v>
      </c>
      <c r="D183" s="1">
        <v>134.1</v>
      </c>
    </row>
    <row r="184" spans="1:4">
      <c r="A184" t="s">
        <v>33</v>
      </c>
      <c r="B184">
        <v>2018</v>
      </c>
      <c r="C184" t="s">
        <v>31</v>
      </c>
      <c r="D184" s="1">
        <v>136.9</v>
      </c>
    </row>
    <row r="185" spans="1:4">
      <c r="A185" t="s">
        <v>30</v>
      </c>
      <c r="B185">
        <v>2018</v>
      </c>
      <c r="C185" t="s">
        <v>34</v>
      </c>
      <c r="D185" s="1">
        <v>138.5</v>
      </c>
    </row>
    <row r="186" spans="1:4">
      <c r="A186" t="s">
        <v>32</v>
      </c>
      <c r="B186">
        <v>2018</v>
      </c>
      <c r="C186" t="s">
        <v>34</v>
      </c>
      <c r="D186" s="1">
        <v>134</v>
      </c>
    </row>
    <row r="187" spans="1:4">
      <c r="A187" t="s">
        <v>33</v>
      </c>
      <c r="B187">
        <v>2018</v>
      </c>
      <c r="C187" t="s">
        <v>34</v>
      </c>
      <c r="D187" s="1">
        <v>136.4</v>
      </c>
    </row>
    <row r="188" spans="1:4">
      <c r="A188" t="s">
        <v>30</v>
      </c>
      <c r="B188">
        <v>2018</v>
      </c>
      <c r="C188" t="s">
        <v>35</v>
      </c>
      <c r="D188" s="1">
        <v>138.69999999999999</v>
      </c>
    </row>
    <row r="189" spans="1:4">
      <c r="A189" t="s">
        <v>32</v>
      </c>
      <c r="B189">
        <v>2018</v>
      </c>
      <c r="C189" t="s">
        <v>35</v>
      </c>
      <c r="D189" s="1">
        <v>134</v>
      </c>
    </row>
    <row r="190" spans="1:4">
      <c r="A190" t="s">
        <v>33</v>
      </c>
      <c r="B190">
        <v>2018</v>
      </c>
      <c r="C190" t="s">
        <v>35</v>
      </c>
      <c r="D190" s="1">
        <v>136.5</v>
      </c>
    </row>
    <row r="191" spans="1:4">
      <c r="A191" t="s">
        <v>30</v>
      </c>
      <c r="B191">
        <v>2018</v>
      </c>
      <c r="C191" t="s">
        <v>36</v>
      </c>
      <c r="D191" s="1">
        <v>139.1</v>
      </c>
    </row>
    <row r="192" spans="1:4">
      <c r="A192" t="s">
        <v>32</v>
      </c>
      <c r="B192">
        <v>2018</v>
      </c>
      <c r="C192" t="s">
        <v>36</v>
      </c>
      <c r="D192" s="1">
        <v>134.80000000000001</v>
      </c>
    </row>
    <row r="193" spans="1:4">
      <c r="A193" t="s">
        <v>33</v>
      </c>
      <c r="B193">
        <v>2018</v>
      </c>
      <c r="C193" t="s">
        <v>36</v>
      </c>
      <c r="D193" s="1">
        <v>137.1</v>
      </c>
    </row>
    <row r="194" spans="1:4">
      <c r="A194" t="s">
        <v>30</v>
      </c>
      <c r="B194">
        <v>2018</v>
      </c>
      <c r="C194" t="s">
        <v>37</v>
      </c>
      <c r="D194" s="1">
        <v>139.80000000000001</v>
      </c>
    </row>
    <row r="195" spans="1:4">
      <c r="A195" t="s">
        <v>32</v>
      </c>
      <c r="B195">
        <v>2018</v>
      </c>
      <c r="C195" t="s">
        <v>37</v>
      </c>
      <c r="D195" s="1">
        <v>135.4</v>
      </c>
    </row>
    <row r="196" spans="1:4">
      <c r="A196" t="s">
        <v>33</v>
      </c>
      <c r="B196">
        <v>2018</v>
      </c>
      <c r="C196" t="s">
        <v>37</v>
      </c>
      <c r="D196" s="1">
        <v>137.80000000000001</v>
      </c>
    </row>
    <row r="197" spans="1:4">
      <c r="A197" t="s">
        <v>30</v>
      </c>
      <c r="B197">
        <v>2018</v>
      </c>
      <c r="C197" t="s">
        <v>38</v>
      </c>
      <c r="D197" s="1">
        <v>140.5</v>
      </c>
    </row>
    <row r="198" spans="1:4">
      <c r="A198" t="s">
        <v>32</v>
      </c>
      <c r="B198">
        <v>2018</v>
      </c>
      <c r="C198" t="s">
        <v>38</v>
      </c>
      <c r="D198" s="1">
        <v>136.19999999999999</v>
      </c>
    </row>
    <row r="199" spans="1:4">
      <c r="A199" t="s">
        <v>33</v>
      </c>
      <c r="B199">
        <v>2018</v>
      </c>
      <c r="C199" t="s">
        <v>38</v>
      </c>
      <c r="D199" s="1">
        <v>138.5</v>
      </c>
    </row>
    <row r="200" spans="1:4">
      <c r="A200" t="s">
        <v>30</v>
      </c>
      <c r="B200">
        <v>2018</v>
      </c>
      <c r="C200" t="s">
        <v>39</v>
      </c>
      <c r="D200" s="1">
        <v>141.80000000000001</v>
      </c>
    </row>
    <row r="201" spans="1:4">
      <c r="A201" t="s">
        <v>32</v>
      </c>
      <c r="B201">
        <v>2018</v>
      </c>
      <c r="C201" t="s">
        <v>39</v>
      </c>
      <c r="D201" s="1">
        <v>137.5</v>
      </c>
    </row>
    <row r="202" spans="1:4">
      <c r="A202" t="s">
        <v>33</v>
      </c>
      <c r="B202">
        <v>2018</v>
      </c>
      <c r="C202" t="s">
        <v>39</v>
      </c>
      <c r="D202" s="1">
        <v>139.80000000000001</v>
      </c>
    </row>
    <row r="203" spans="1:4">
      <c r="A203" t="s">
        <v>30</v>
      </c>
      <c r="B203">
        <v>2018</v>
      </c>
      <c r="C203" t="s">
        <v>40</v>
      </c>
      <c r="D203" s="1">
        <v>142.5</v>
      </c>
    </row>
    <row r="204" spans="1:4">
      <c r="A204" t="s">
        <v>32</v>
      </c>
      <c r="B204">
        <v>2018</v>
      </c>
      <c r="C204" t="s">
        <v>40</v>
      </c>
      <c r="D204" s="1">
        <v>138</v>
      </c>
    </row>
    <row r="205" spans="1:4">
      <c r="A205" t="s">
        <v>33</v>
      </c>
      <c r="B205">
        <v>2018</v>
      </c>
      <c r="C205" t="s">
        <v>40</v>
      </c>
      <c r="D205" s="1">
        <v>140.4</v>
      </c>
    </row>
    <row r="206" spans="1:4">
      <c r="A206" t="s">
        <v>30</v>
      </c>
      <c r="B206">
        <v>2018</v>
      </c>
      <c r="C206" t="s">
        <v>41</v>
      </c>
      <c r="D206" s="1">
        <v>142.1</v>
      </c>
    </row>
    <row r="207" spans="1:4">
      <c r="A207" t="s">
        <v>32</v>
      </c>
      <c r="B207">
        <v>2018</v>
      </c>
      <c r="C207" t="s">
        <v>41</v>
      </c>
      <c r="D207" s="1">
        <v>138.1</v>
      </c>
    </row>
    <row r="208" spans="1:4">
      <c r="A208" t="s">
        <v>33</v>
      </c>
      <c r="B208">
        <v>2018</v>
      </c>
      <c r="C208" t="s">
        <v>41</v>
      </c>
      <c r="D208" s="1">
        <v>140.19999999999999</v>
      </c>
    </row>
    <row r="209" spans="1:4">
      <c r="A209" t="s">
        <v>30</v>
      </c>
      <c r="B209">
        <v>2018</v>
      </c>
      <c r="C209" t="s">
        <v>42</v>
      </c>
      <c r="D209" s="1">
        <v>142.19999999999999</v>
      </c>
    </row>
    <row r="210" spans="1:4">
      <c r="A210" t="s">
        <v>32</v>
      </c>
      <c r="B210">
        <v>2018</v>
      </c>
      <c r="C210" t="s">
        <v>42</v>
      </c>
      <c r="D210" s="1">
        <v>138.9</v>
      </c>
    </row>
    <row r="211" spans="1:4">
      <c r="A211" t="s">
        <v>33</v>
      </c>
      <c r="B211">
        <v>2018</v>
      </c>
      <c r="C211" t="s">
        <v>42</v>
      </c>
      <c r="D211" s="1">
        <v>140.80000000000001</v>
      </c>
    </row>
    <row r="212" spans="1:4">
      <c r="A212" t="s">
        <v>30</v>
      </c>
      <c r="B212">
        <v>2018</v>
      </c>
      <c r="C212" t="s">
        <v>44</v>
      </c>
      <c r="D212" s="1">
        <v>142.4</v>
      </c>
    </row>
    <row r="213" spans="1:4">
      <c r="A213" t="s">
        <v>32</v>
      </c>
      <c r="B213">
        <v>2018</v>
      </c>
      <c r="C213" t="s">
        <v>44</v>
      </c>
      <c r="D213" s="1">
        <v>139</v>
      </c>
    </row>
    <row r="214" spans="1:4">
      <c r="A214" t="s">
        <v>33</v>
      </c>
      <c r="B214">
        <v>2018</v>
      </c>
      <c r="C214" t="s">
        <v>44</v>
      </c>
      <c r="D214" s="1">
        <v>140.80000000000001</v>
      </c>
    </row>
    <row r="215" spans="1:4">
      <c r="A215" t="s">
        <v>30</v>
      </c>
      <c r="B215">
        <v>2018</v>
      </c>
      <c r="C215" t="s">
        <v>45</v>
      </c>
      <c r="D215" s="1">
        <v>141.9</v>
      </c>
    </row>
    <row r="216" spans="1:4">
      <c r="A216" t="s">
        <v>32</v>
      </c>
      <c r="B216">
        <v>2018</v>
      </c>
      <c r="C216" t="s">
        <v>45</v>
      </c>
      <c r="D216" s="1">
        <v>138</v>
      </c>
    </row>
    <row r="217" spans="1:4">
      <c r="A217" t="s">
        <v>33</v>
      </c>
      <c r="B217">
        <v>2018</v>
      </c>
      <c r="C217" t="s">
        <v>45</v>
      </c>
      <c r="D217" s="1">
        <v>140.1</v>
      </c>
    </row>
    <row r="218" spans="1:4">
      <c r="A218" t="s">
        <v>30</v>
      </c>
      <c r="B218">
        <v>2019</v>
      </c>
      <c r="C218" t="s">
        <v>31</v>
      </c>
      <c r="D218" s="1">
        <v>141</v>
      </c>
    </row>
    <row r="219" spans="1:4">
      <c r="A219" t="s">
        <v>32</v>
      </c>
      <c r="B219">
        <v>2019</v>
      </c>
      <c r="C219" t="s">
        <v>31</v>
      </c>
      <c r="D219" s="1">
        <v>138</v>
      </c>
    </row>
    <row r="220" spans="1:4">
      <c r="A220" t="s">
        <v>33</v>
      </c>
      <c r="B220">
        <v>2019</v>
      </c>
      <c r="C220" t="s">
        <v>31</v>
      </c>
      <c r="D220" s="1">
        <v>139.6</v>
      </c>
    </row>
    <row r="221" spans="1:4">
      <c r="A221" t="s">
        <v>30</v>
      </c>
      <c r="B221">
        <v>2019</v>
      </c>
      <c r="C221" t="s">
        <v>34</v>
      </c>
      <c r="D221" s="1">
        <v>141</v>
      </c>
    </row>
    <row r="222" spans="1:4">
      <c r="A222" t="s">
        <v>32</v>
      </c>
      <c r="B222">
        <v>2019</v>
      </c>
      <c r="C222" t="s">
        <v>34</v>
      </c>
      <c r="D222" s="1">
        <v>138.6</v>
      </c>
    </row>
    <row r="223" spans="1:4">
      <c r="A223" t="s">
        <v>33</v>
      </c>
      <c r="B223">
        <v>2019</v>
      </c>
      <c r="C223" t="s">
        <v>34</v>
      </c>
      <c r="D223" s="1">
        <v>139.9</v>
      </c>
    </row>
    <row r="224" spans="1:4">
      <c r="A224" t="s">
        <v>30</v>
      </c>
      <c r="B224">
        <v>2019</v>
      </c>
      <c r="C224" t="s">
        <v>35</v>
      </c>
      <c r="D224" s="1">
        <v>141.19999999999999</v>
      </c>
    </row>
    <row r="225" spans="1:4">
      <c r="A225" t="s">
        <v>32</v>
      </c>
      <c r="B225">
        <v>2019</v>
      </c>
      <c r="C225" t="s">
        <v>35</v>
      </c>
      <c r="D225" s="1">
        <v>139.5</v>
      </c>
    </row>
    <row r="226" spans="1:4">
      <c r="A226" t="s">
        <v>33</v>
      </c>
      <c r="B226">
        <v>2019</v>
      </c>
      <c r="C226" t="s">
        <v>35</v>
      </c>
      <c r="D226" s="1">
        <v>140.4</v>
      </c>
    </row>
    <row r="227" spans="1:4">
      <c r="A227" t="s">
        <v>30</v>
      </c>
      <c r="B227">
        <v>2019</v>
      </c>
      <c r="C227" t="s">
        <v>37</v>
      </c>
      <c r="D227" s="1">
        <v>142.4</v>
      </c>
    </row>
    <row r="228" spans="1:4">
      <c r="A228" t="s">
        <v>32</v>
      </c>
      <c r="B228">
        <v>2019</v>
      </c>
      <c r="C228" t="s">
        <v>37</v>
      </c>
      <c r="D228" s="1">
        <v>141.5</v>
      </c>
    </row>
    <row r="229" spans="1:4">
      <c r="A229" t="s">
        <v>33</v>
      </c>
      <c r="B229">
        <v>2019</v>
      </c>
      <c r="C229" t="s">
        <v>37</v>
      </c>
      <c r="D229" s="1">
        <v>142</v>
      </c>
    </row>
    <row r="230" spans="1:4">
      <c r="A230" t="s">
        <v>30</v>
      </c>
      <c r="B230">
        <v>2019</v>
      </c>
      <c r="C230" t="s">
        <v>38</v>
      </c>
      <c r="D230" s="1">
        <v>143.6</v>
      </c>
    </row>
    <row r="231" spans="1:4">
      <c r="A231" t="s">
        <v>32</v>
      </c>
      <c r="B231">
        <v>2019</v>
      </c>
      <c r="C231" t="s">
        <v>38</v>
      </c>
      <c r="D231" s="1">
        <v>142.1</v>
      </c>
    </row>
    <row r="232" spans="1:4">
      <c r="A232" t="s">
        <v>33</v>
      </c>
      <c r="B232">
        <v>2019</v>
      </c>
      <c r="C232" t="s">
        <v>38</v>
      </c>
      <c r="D232" s="1">
        <v>142.9</v>
      </c>
    </row>
    <row r="233" spans="1:4">
      <c r="A233" t="s">
        <v>30</v>
      </c>
      <c r="B233">
        <v>2019</v>
      </c>
      <c r="C233" t="s">
        <v>39</v>
      </c>
      <c r="D233" s="1">
        <v>144.9</v>
      </c>
    </row>
    <row r="234" spans="1:4">
      <c r="A234" t="s">
        <v>32</v>
      </c>
      <c r="B234">
        <v>2019</v>
      </c>
      <c r="C234" t="s">
        <v>39</v>
      </c>
      <c r="D234" s="1">
        <v>143.30000000000001</v>
      </c>
    </row>
    <row r="235" spans="1:4">
      <c r="A235" t="s">
        <v>33</v>
      </c>
      <c r="B235">
        <v>2019</v>
      </c>
      <c r="C235" t="s">
        <v>39</v>
      </c>
      <c r="D235" s="1">
        <v>144.19999999999999</v>
      </c>
    </row>
    <row r="236" spans="1:4">
      <c r="A236" t="s">
        <v>30</v>
      </c>
      <c r="B236">
        <v>2019</v>
      </c>
      <c r="C236" t="s">
        <v>40</v>
      </c>
      <c r="D236" s="1">
        <v>145.69999999999999</v>
      </c>
    </row>
    <row r="237" spans="1:4">
      <c r="A237" t="s">
        <v>32</v>
      </c>
      <c r="B237">
        <v>2019</v>
      </c>
      <c r="C237" t="s">
        <v>40</v>
      </c>
      <c r="D237" s="1">
        <v>144.19999999999999</v>
      </c>
    </row>
    <row r="238" spans="1:4">
      <c r="A238" t="s">
        <v>33</v>
      </c>
      <c r="B238">
        <v>2019</v>
      </c>
      <c r="C238" t="s">
        <v>40</v>
      </c>
      <c r="D238" s="1">
        <v>145</v>
      </c>
    </row>
    <row r="239" spans="1:4">
      <c r="A239" t="s">
        <v>30</v>
      </c>
      <c r="B239">
        <v>2019</v>
      </c>
      <c r="C239" t="s">
        <v>41</v>
      </c>
      <c r="D239" s="1">
        <v>146.69999999999999</v>
      </c>
    </row>
    <row r="240" spans="1:4">
      <c r="A240" t="s">
        <v>32</v>
      </c>
      <c r="B240">
        <v>2019</v>
      </c>
      <c r="C240" t="s">
        <v>41</v>
      </c>
      <c r="D240" s="1">
        <v>144.69999999999999</v>
      </c>
    </row>
    <row r="241" spans="1:4">
      <c r="A241" t="s">
        <v>33</v>
      </c>
      <c r="B241">
        <v>2019</v>
      </c>
      <c r="C241" t="s">
        <v>41</v>
      </c>
      <c r="D241" s="1">
        <v>145.80000000000001</v>
      </c>
    </row>
    <row r="242" spans="1:4">
      <c r="A242" t="s">
        <v>30</v>
      </c>
      <c r="B242">
        <v>2019</v>
      </c>
      <c r="C242" t="s">
        <v>42</v>
      </c>
      <c r="D242" s="1">
        <v>148.30000000000001</v>
      </c>
    </row>
    <row r="243" spans="1:4">
      <c r="A243" t="s">
        <v>32</v>
      </c>
      <c r="B243">
        <v>2019</v>
      </c>
      <c r="C243" t="s">
        <v>42</v>
      </c>
      <c r="D243" s="1">
        <v>146</v>
      </c>
    </row>
    <row r="244" spans="1:4">
      <c r="A244" t="s">
        <v>33</v>
      </c>
      <c r="B244">
        <v>2019</v>
      </c>
      <c r="C244" t="s">
        <v>42</v>
      </c>
      <c r="D244" s="1">
        <v>147.19999999999999</v>
      </c>
    </row>
    <row r="245" spans="1:4">
      <c r="A245" t="s">
        <v>30</v>
      </c>
      <c r="B245">
        <v>2019</v>
      </c>
      <c r="C245" t="s">
        <v>44</v>
      </c>
      <c r="D245" s="1">
        <v>149.9</v>
      </c>
    </row>
    <row r="246" spans="1:4">
      <c r="A246" t="s">
        <v>32</v>
      </c>
      <c r="B246">
        <v>2019</v>
      </c>
      <c r="C246" t="s">
        <v>44</v>
      </c>
      <c r="D246" s="1">
        <v>147</v>
      </c>
    </row>
    <row r="247" spans="1:4">
      <c r="A247" t="s">
        <v>33</v>
      </c>
      <c r="B247">
        <v>2019</v>
      </c>
      <c r="C247" t="s">
        <v>44</v>
      </c>
      <c r="D247" s="1">
        <v>148.6</v>
      </c>
    </row>
    <row r="248" spans="1:4">
      <c r="A248" t="s">
        <v>30</v>
      </c>
      <c r="B248">
        <v>2019</v>
      </c>
      <c r="C248" t="s">
        <v>45</v>
      </c>
      <c r="D248" s="1">
        <v>152.30000000000001</v>
      </c>
    </row>
    <row r="249" spans="1:4">
      <c r="A249" t="s">
        <v>32</v>
      </c>
      <c r="B249">
        <v>2019</v>
      </c>
      <c r="C249" t="s">
        <v>45</v>
      </c>
      <c r="D249" s="1">
        <v>148.30000000000001</v>
      </c>
    </row>
    <row r="250" spans="1:4">
      <c r="A250" t="s">
        <v>33</v>
      </c>
      <c r="B250">
        <v>2019</v>
      </c>
      <c r="C250" t="s">
        <v>45</v>
      </c>
      <c r="D250" s="1">
        <v>150.4</v>
      </c>
    </row>
    <row r="251" spans="1:4">
      <c r="A251" t="s">
        <v>30</v>
      </c>
      <c r="B251">
        <v>2020</v>
      </c>
      <c r="C251" t="s">
        <v>31</v>
      </c>
      <c r="D251" s="1">
        <v>151.9</v>
      </c>
    </row>
    <row r="252" spans="1:4">
      <c r="A252" t="s">
        <v>32</v>
      </c>
      <c r="B252">
        <v>2020</v>
      </c>
      <c r="C252" t="s">
        <v>31</v>
      </c>
      <c r="D252" s="1">
        <v>148.19999999999999</v>
      </c>
    </row>
    <row r="253" spans="1:4">
      <c r="A253" t="s">
        <v>33</v>
      </c>
      <c r="B253">
        <v>2020</v>
      </c>
      <c r="C253" t="s">
        <v>31</v>
      </c>
      <c r="D253" s="1">
        <v>150.19999999999999</v>
      </c>
    </row>
    <row r="254" spans="1:4">
      <c r="A254" t="s">
        <v>30</v>
      </c>
      <c r="B254">
        <v>2020</v>
      </c>
      <c r="C254" t="s">
        <v>34</v>
      </c>
      <c r="D254" s="1">
        <v>150.4</v>
      </c>
    </row>
    <row r="255" spans="1:4">
      <c r="A255" t="s">
        <v>32</v>
      </c>
      <c r="B255">
        <v>2020</v>
      </c>
      <c r="C255" t="s">
        <v>34</v>
      </c>
      <c r="D255" s="1">
        <v>147.69999999999999</v>
      </c>
    </row>
    <row r="256" spans="1:4">
      <c r="A256" t="s">
        <v>33</v>
      </c>
      <c r="B256">
        <v>2020</v>
      </c>
      <c r="C256" t="s">
        <v>34</v>
      </c>
      <c r="D256" s="1">
        <v>149.1</v>
      </c>
    </row>
    <row r="257" spans="1:4">
      <c r="A257" t="s">
        <v>30</v>
      </c>
      <c r="B257">
        <v>2020</v>
      </c>
      <c r="C257" t="s">
        <v>35</v>
      </c>
      <c r="D257" s="1">
        <v>149.80000000000001</v>
      </c>
    </row>
    <row r="258" spans="1:4">
      <c r="A258" t="s">
        <v>32</v>
      </c>
      <c r="B258">
        <v>2020</v>
      </c>
      <c r="C258" t="s">
        <v>35</v>
      </c>
      <c r="D258" s="1">
        <v>147.30000000000001</v>
      </c>
    </row>
    <row r="259" spans="1:4">
      <c r="A259" t="s">
        <v>33</v>
      </c>
      <c r="B259">
        <v>2020</v>
      </c>
      <c r="C259" t="s">
        <v>35</v>
      </c>
      <c r="D259" s="1">
        <v>148.6</v>
      </c>
    </row>
    <row r="260" spans="1:4">
      <c r="A260" t="s">
        <v>30</v>
      </c>
      <c r="B260">
        <v>2020</v>
      </c>
      <c r="C260" t="s">
        <v>36</v>
      </c>
      <c r="D260" s="1">
        <f t="shared" ref="D260" si="0">(D257+D266)/2</f>
        <v>151.25</v>
      </c>
    </row>
    <row r="261" spans="1:4">
      <c r="A261" t="s">
        <v>32</v>
      </c>
      <c r="B261">
        <v>2020</v>
      </c>
      <c r="C261" t="s">
        <v>36</v>
      </c>
      <c r="D261" s="1">
        <f t="shared" ref="D261:D262" si="1">(D258+D267)/2</f>
        <v>149.05000000000001</v>
      </c>
    </row>
    <row r="262" spans="1:4">
      <c r="A262" t="s">
        <v>33</v>
      </c>
      <c r="B262">
        <v>2020</v>
      </c>
      <c r="C262" t="s">
        <v>36</v>
      </c>
      <c r="D262" s="1">
        <f t="shared" si="1"/>
        <v>150.19999999999999</v>
      </c>
    </row>
    <row r="263" spans="1:4">
      <c r="A263" t="s">
        <v>30</v>
      </c>
      <c r="B263">
        <v>2020</v>
      </c>
      <c r="C263" t="s">
        <v>37</v>
      </c>
      <c r="D263" s="1">
        <f t="shared" ref="D263:D265" si="2">(D260+D266)/2</f>
        <v>151.97499999999999</v>
      </c>
    </row>
    <row r="264" spans="1:4">
      <c r="A264" t="s">
        <v>32</v>
      </c>
      <c r="B264">
        <v>2020</v>
      </c>
      <c r="C264" t="s">
        <v>37</v>
      </c>
      <c r="D264" s="1">
        <f t="shared" si="2"/>
        <v>149.92500000000001</v>
      </c>
    </row>
    <row r="265" spans="1:4">
      <c r="A265" t="s">
        <v>33</v>
      </c>
      <c r="B265">
        <v>2020</v>
      </c>
      <c r="C265" t="s">
        <v>37</v>
      </c>
      <c r="D265" s="1">
        <f t="shared" si="2"/>
        <v>151</v>
      </c>
    </row>
    <row r="266" spans="1:4">
      <c r="A266" t="s">
        <v>30</v>
      </c>
      <c r="B266">
        <v>2020</v>
      </c>
      <c r="C266" t="s">
        <v>38</v>
      </c>
      <c r="D266" s="1">
        <v>152.69999999999999</v>
      </c>
    </row>
    <row r="267" spans="1:4">
      <c r="A267" t="s">
        <v>32</v>
      </c>
      <c r="B267">
        <v>2020</v>
      </c>
      <c r="C267" t="s">
        <v>38</v>
      </c>
      <c r="D267" s="1">
        <v>150.80000000000001</v>
      </c>
    </row>
    <row r="268" spans="1:4">
      <c r="A268" t="s">
        <v>33</v>
      </c>
      <c r="B268">
        <v>2020</v>
      </c>
      <c r="C268" t="s">
        <v>38</v>
      </c>
      <c r="D268" s="1">
        <v>151.80000000000001</v>
      </c>
    </row>
    <row r="269" spans="1:4">
      <c r="A269" t="s">
        <v>30</v>
      </c>
      <c r="B269">
        <v>2020</v>
      </c>
      <c r="C269" t="s">
        <v>39</v>
      </c>
      <c r="D269" s="1">
        <v>152.69999999999999</v>
      </c>
    </row>
    <row r="270" spans="1:4">
      <c r="A270" t="s">
        <v>32</v>
      </c>
      <c r="B270">
        <v>2020</v>
      </c>
      <c r="C270" t="s">
        <v>39</v>
      </c>
      <c r="D270" s="1">
        <v>150.80000000000001</v>
      </c>
    </row>
    <row r="271" spans="1:4">
      <c r="A271" t="s">
        <v>33</v>
      </c>
      <c r="B271">
        <v>2020</v>
      </c>
      <c r="C271" t="s">
        <v>39</v>
      </c>
      <c r="D271" s="1">
        <v>151.80000000000001</v>
      </c>
    </row>
    <row r="272" spans="1:4">
      <c r="A272" t="s">
        <v>30</v>
      </c>
      <c r="B272">
        <v>2020</v>
      </c>
      <c r="C272" t="s">
        <v>40</v>
      </c>
      <c r="D272" s="1">
        <v>154.69999999999999</v>
      </c>
    </row>
    <row r="273" spans="1:4">
      <c r="A273" t="s">
        <v>32</v>
      </c>
      <c r="B273">
        <v>2020</v>
      </c>
      <c r="C273" t="s">
        <v>40</v>
      </c>
      <c r="D273" s="1">
        <v>152.9</v>
      </c>
    </row>
    <row r="274" spans="1:4">
      <c r="A274" t="s">
        <v>33</v>
      </c>
      <c r="B274">
        <v>2020</v>
      </c>
      <c r="C274" t="s">
        <v>40</v>
      </c>
      <c r="D274" s="1">
        <v>153.9</v>
      </c>
    </row>
    <row r="275" spans="1:4">
      <c r="A275" t="s">
        <v>30</v>
      </c>
      <c r="B275">
        <v>2020</v>
      </c>
      <c r="C275" t="s">
        <v>41</v>
      </c>
      <c r="D275" s="1">
        <v>155.4</v>
      </c>
    </row>
    <row r="276" spans="1:4">
      <c r="A276" t="s">
        <v>32</v>
      </c>
      <c r="B276">
        <v>2020</v>
      </c>
      <c r="C276" t="s">
        <v>41</v>
      </c>
      <c r="D276" s="1">
        <v>154</v>
      </c>
    </row>
    <row r="277" spans="1:4">
      <c r="A277" t="s">
        <v>33</v>
      </c>
      <c r="B277">
        <v>2020</v>
      </c>
      <c r="C277" t="s">
        <v>41</v>
      </c>
      <c r="D277" s="1">
        <v>154.69999999999999</v>
      </c>
    </row>
    <row r="278" spans="1:4">
      <c r="A278" t="s">
        <v>30</v>
      </c>
      <c r="B278">
        <v>2020</v>
      </c>
      <c r="C278" t="s">
        <v>42</v>
      </c>
      <c r="D278" s="1">
        <v>157.5</v>
      </c>
    </row>
    <row r="279" spans="1:4">
      <c r="A279" t="s">
        <v>32</v>
      </c>
      <c r="B279">
        <v>2020</v>
      </c>
      <c r="C279" t="s">
        <v>42</v>
      </c>
      <c r="D279" s="1">
        <v>155.19999999999999</v>
      </c>
    </row>
    <row r="280" spans="1:4">
      <c r="A280" t="s">
        <v>33</v>
      </c>
      <c r="B280">
        <v>2020</v>
      </c>
      <c r="C280" t="s">
        <v>42</v>
      </c>
      <c r="D280" s="1">
        <v>156.4</v>
      </c>
    </row>
    <row r="281" spans="1:4">
      <c r="A281" t="s">
        <v>30</v>
      </c>
      <c r="B281">
        <v>2020</v>
      </c>
      <c r="C281" t="s">
        <v>44</v>
      </c>
      <c r="D281" s="1">
        <v>159.80000000000001</v>
      </c>
    </row>
    <row r="282" spans="1:4">
      <c r="A282" t="s">
        <v>32</v>
      </c>
      <c r="B282">
        <v>2020</v>
      </c>
      <c r="C282" t="s">
        <v>44</v>
      </c>
      <c r="D282" s="1">
        <v>156.69999999999999</v>
      </c>
    </row>
    <row r="283" spans="1:4">
      <c r="A283" t="s">
        <v>33</v>
      </c>
      <c r="B283">
        <v>2020</v>
      </c>
      <c r="C283" t="s">
        <v>44</v>
      </c>
      <c r="D283" s="1">
        <v>158.4</v>
      </c>
    </row>
    <row r="284" spans="1:4">
      <c r="A284" t="s">
        <v>30</v>
      </c>
      <c r="B284">
        <v>2020</v>
      </c>
      <c r="C284" t="s">
        <v>45</v>
      </c>
      <c r="D284" s="1">
        <v>160.69999999999999</v>
      </c>
    </row>
    <row r="285" spans="1:4">
      <c r="A285" t="s">
        <v>32</v>
      </c>
      <c r="B285">
        <v>2020</v>
      </c>
      <c r="C285" t="s">
        <v>45</v>
      </c>
      <c r="D285" s="1">
        <v>156.9</v>
      </c>
    </row>
    <row r="286" spans="1:4">
      <c r="A286" t="s">
        <v>33</v>
      </c>
      <c r="B286">
        <v>2020</v>
      </c>
      <c r="C286" t="s">
        <v>45</v>
      </c>
      <c r="D286" s="1">
        <v>158.9</v>
      </c>
    </row>
    <row r="287" spans="1:4">
      <c r="A287" t="s">
        <v>30</v>
      </c>
      <c r="B287">
        <v>2021</v>
      </c>
      <c r="C287" t="s">
        <v>31</v>
      </c>
      <c r="D287" s="1">
        <v>158.5</v>
      </c>
    </row>
    <row r="288" spans="1:4">
      <c r="A288" t="s">
        <v>32</v>
      </c>
      <c r="B288">
        <v>2021</v>
      </c>
      <c r="C288" t="s">
        <v>31</v>
      </c>
      <c r="D288" s="1">
        <v>156</v>
      </c>
    </row>
    <row r="289" spans="1:4">
      <c r="A289" t="s">
        <v>33</v>
      </c>
      <c r="B289">
        <v>2021</v>
      </c>
      <c r="C289" t="s">
        <v>31</v>
      </c>
      <c r="D289" s="1">
        <v>157.30000000000001</v>
      </c>
    </row>
    <row r="290" spans="1:4">
      <c r="A290" t="s">
        <v>30</v>
      </c>
      <c r="B290">
        <v>2021</v>
      </c>
      <c r="C290" t="s">
        <v>34</v>
      </c>
      <c r="D290" s="1">
        <v>156.69999999999999</v>
      </c>
    </row>
    <row r="291" spans="1:4">
      <c r="A291" t="s">
        <v>32</v>
      </c>
      <c r="B291">
        <v>2021</v>
      </c>
      <c r="C291" t="s">
        <v>34</v>
      </c>
      <c r="D291" s="1">
        <v>156.5</v>
      </c>
    </row>
    <row r="292" spans="1:4">
      <c r="A292" t="s">
        <v>33</v>
      </c>
      <c r="B292">
        <v>2021</v>
      </c>
      <c r="C292" t="s">
        <v>34</v>
      </c>
      <c r="D292" s="1">
        <v>156.6</v>
      </c>
    </row>
    <row r="293" spans="1:4">
      <c r="A293" t="s">
        <v>30</v>
      </c>
      <c r="B293">
        <v>2021</v>
      </c>
      <c r="C293" t="s">
        <v>35</v>
      </c>
      <c r="D293" s="1">
        <v>156.69999999999999</v>
      </c>
    </row>
    <row r="294" spans="1:4">
      <c r="A294" t="s">
        <v>32</v>
      </c>
      <c r="B294">
        <v>2021</v>
      </c>
      <c r="C294" t="s">
        <v>35</v>
      </c>
      <c r="D294" s="1">
        <v>156.9</v>
      </c>
    </row>
    <row r="295" spans="1:4">
      <c r="A295" t="s">
        <v>33</v>
      </c>
      <c r="B295">
        <v>2021</v>
      </c>
      <c r="C295" t="s">
        <v>35</v>
      </c>
      <c r="D295" s="1">
        <v>156.80000000000001</v>
      </c>
    </row>
    <row r="296" spans="1:4">
      <c r="A296" t="s">
        <v>30</v>
      </c>
      <c r="B296">
        <v>2021</v>
      </c>
      <c r="C296" t="s">
        <v>36</v>
      </c>
      <c r="D296" s="1">
        <v>157.6</v>
      </c>
    </row>
    <row r="297" spans="1:4">
      <c r="A297" t="s">
        <v>32</v>
      </c>
      <c r="B297">
        <v>2021</v>
      </c>
      <c r="C297" t="s">
        <v>36</v>
      </c>
      <c r="D297" s="1">
        <v>158</v>
      </c>
    </row>
    <row r="298" spans="1:4">
      <c r="A298" t="s">
        <v>33</v>
      </c>
      <c r="B298">
        <v>2021</v>
      </c>
      <c r="C298" t="s">
        <v>36</v>
      </c>
      <c r="D298" s="1">
        <v>157.80000000000001</v>
      </c>
    </row>
    <row r="299" spans="1:4">
      <c r="A299" t="s">
        <v>30</v>
      </c>
      <c r="B299">
        <v>2021</v>
      </c>
      <c r="C299" t="s">
        <v>37</v>
      </c>
      <c r="D299" s="1">
        <v>161.1</v>
      </c>
    </row>
    <row r="300" spans="1:4">
      <c r="A300" t="s">
        <v>32</v>
      </c>
      <c r="B300">
        <v>2021</v>
      </c>
      <c r="C300" t="s">
        <v>37</v>
      </c>
      <c r="D300" s="1">
        <v>159.5</v>
      </c>
    </row>
    <row r="301" spans="1:4">
      <c r="A301" t="s">
        <v>33</v>
      </c>
      <c r="B301">
        <v>2021</v>
      </c>
      <c r="C301" t="s">
        <v>37</v>
      </c>
      <c r="D301" s="1">
        <v>160.4</v>
      </c>
    </row>
    <row r="302" spans="1:4">
      <c r="A302" t="s">
        <v>30</v>
      </c>
      <c r="B302">
        <v>2021</v>
      </c>
      <c r="C302" t="s">
        <v>38</v>
      </c>
      <c r="D302" s="1">
        <v>162.1</v>
      </c>
    </row>
    <row r="303" spans="1:4">
      <c r="A303" t="s">
        <v>32</v>
      </c>
      <c r="B303">
        <v>2021</v>
      </c>
      <c r="C303" t="s">
        <v>38</v>
      </c>
      <c r="D303" s="1">
        <v>160.4</v>
      </c>
    </row>
    <row r="304" spans="1:4">
      <c r="A304" t="s">
        <v>33</v>
      </c>
      <c r="B304">
        <v>2021</v>
      </c>
      <c r="C304" t="s">
        <v>38</v>
      </c>
      <c r="D304" s="1">
        <v>161.30000000000001</v>
      </c>
    </row>
    <row r="305" spans="1:4">
      <c r="A305" t="s">
        <v>30</v>
      </c>
      <c r="B305">
        <v>2021</v>
      </c>
      <c r="C305" t="s">
        <v>39</v>
      </c>
      <c r="D305" s="1">
        <v>163.19999999999999</v>
      </c>
    </row>
    <row r="306" spans="1:4">
      <c r="A306" t="s">
        <v>32</v>
      </c>
      <c r="B306">
        <v>2021</v>
      </c>
      <c r="C306" t="s">
        <v>39</v>
      </c>
      <c r="D306" s="1">
        <v>161.80000000000001</v>
      </c>
    </row>
    <row r="307" spans="1:4">
      <c r="A307" t="s">
        <v>33</v>
      </c>
      <c r="B307">
        <v>2021</v>
      </c>
      <c r="C307" t="s">
        <v>39</v>
      </c>
      <c r="D307" s="1">
        <v>162.5</v>
      </c>
    </row>
    <row r="308" spans="1:4">
      <c r="A308" t="s">
        <v>30</v>
      </c>
      <c r="B308">
        <v>2021</v>
      </c>
      <c r="C308" t="s">
        <v>40</v>
      </c>
      <c r="D308" s="1">
        <v>163.6</v>
      </c>
    </row>
    <row r="309" spans="1:4">
      <c r="A309" t="s">
        <v>32</v>
      </c>
      <c r="B309">
        <v>2021</v>
      </c>
      <c r="C309" t="s">
        <v>40</v>
      </c>
      <c r="D309" s="1">
        <v>162.30000000000001</v>
      </c>
    </row>
    <row r="310" spans="1:4">
      <c r="A310" t="s">
        <v>33</v>
      </c>
      <c r="B310">
        <v>2021</v>
      </c>
      <c r="C310" t="s">
        <v>40</v>
      </c>
      <c r="D310" s="1">
        <v>163.19999999999999</v>
      </c>
    </row>
    <row r="311" spans="1:4">
      <c r="A311" t="s">
        <v>30</v>
      </c>
      <c r="B311">
        <v>2021</v>
      </c>
      <c r="C311" t="s">
        <v>41</v>
      </c>
      <c r="D311" s="1">
        <v>164</v>
      </c>
    </row>
    <row r="312" spans="1:4">
      <c r="A312" t="s">
        <v>32</v>
      </c>
      <c r="B312">
        <v>2021</v>
      </c>
      <c r="C312" t="s">
        <v>41</v>
      </c>
      <c r="D312" s="1">
        <v>162.30000000000001</v>
      </c>
    </row>
    <row r="313" spans="1:4">
      <c r="A313" t="s">
        <v>33</v>
      </c>
      <c r="B313">
        <v>2021</v>
      </c>
      <c r="C313" t="s">
        <v>41</v>
      </c>
      <c r="D313" s="1">
        <v>163.19999999999999</v>
      </c>
    </row>
    <row r="314" spans="1:4">
      <c r="A314" t="s">
        <v>30</v>
      </c>
      <c r="B314">
        <v>2021</v>
      </c>
      <c r="C314" t="s">
        <v>42</v>
      </c>
      <c r="D314" s="1">
        <v>166.3</v>
      </c>
    </row>
    <row r="315" spans="1:4">
      <c r="A315" t="s">
        <v>32</v>
      </c>
      <c r="B315">
        <v>2021</v>
      </c>
      <c r="C315" t="s">
        <v>42</v>
      </c>
      <c r="D315" s="1">
        <v>164.6</v>
      </c>
    </row>
    <row r="316" spans="1:4">
      <c r="A316" t="s">
        <v>33</v>
      </c>
      <c r="B316">
        <v>2021</v>
      </c>
      <c r="C316" t="s">
        <v>42</v>
      </c>
      <c r="D316" s="1">
        <v>165.5</v>
      </c>
    </row>
    <row r="317" spans="1:4">
      <c r="A317" t="s">
        <v>30</v>
      </c>
      <c r="B317">
        <v>2021</v>
      </c>
      <c r="C317" t="s">
        <v>44</v>
      </c>
      <c r="D317" s="1">
        <v>167.6</v>
      </c>
    </row>
    <row r="318" spans="1:4">
      <c r="A318" t="s">
        <v>32</v>
      </c>
      <c r="B318">
        <v>2021</v>
      </c>
      <c r="C318" t="s">
        <v>44</v>
      </c>
      <c r="D318" s="1">
        <v>165.6</v>
      </c>
    </row>
    <row r="319" spans="1:4">
      <c r="A319" t="s">
        <v>33</v>
      </c>
      <c r="B319">
        <v>2021</v>
      </c>
      <c r="C319" t="s">
        <v>44</v>
      </c>
      <c r="D319" s="1">
        <v>166.7</v>
      </c>
    </row>
    <row r="320" spans="1:4">
      <c r="A320" t="s">
        <v>30</v>
      </c>
      <c r="B320">
        <v>2021</v>
      </c>
      <c r="C320" t="s">
        <v>45</v>
      </c>
      <c r="D320" s="1">
        <v>167</v>
      </c>
    </row>
    <row r="321" spans="1:4">
      <c r="A321" t="s">
        <v>32</v>
      </c>
      <c r="B321">
        <v>2021</v>
      </c>
      <c r="C321" t="s">
        <v>45</v>
      </c>
      <c r="D321" s="1">
        <v>165.2</v>
      </c>
    </row>
    <row r="322" spans="1:4">
      <c r="A322" t="s">
        <v>33</v>
      </c>
      <c r="B322">
        <v>2021</v>
      </c>
      <c r="C322" t="s">
        <v>45</v>
      </c>
      <c r="D322" s="1">
        <v>166.2</v>
      </c>
    </row>
    <row r="323" spans="1:4">
      <c r="A323" t="s">
        <v>30</v>
      </c>
      <c r="B323">
        <v>2022</v>
      </c>
      <c r="C323" t="s">
        <v>31</v>
      </c>
      <c r="D323" s="1">
        <v>166.4</v>
      </c>
    </row>
    <row r="324" spans="1:4">
      <c r="A324" t="s">
        <v>32</v>
      </c>
      <c r="B324">
        <v>2022</v>
      </c>
      <c r="C324" t="s">
        <v>31</v>
      </c>
      <c r="D324" s="1">
        <v>165</v>
      </c>
    </row>
    <row r="325" spans="1:4">
      <c r="A325" t="s">
        <v>33</v>
      </c>
      <c r="B325">
        <v>2022</v>
      </c>
      <c r="C325" t="s">
        <v>31</v>
      </c>
      <c r="D325" s="1">
        <v>165.7</v>
      </c>
    </row>
    <row r="326" spans="1:4">
      <c r="A326" t="s">
        <v>30</v>
      </c>
      <c r="B326">
        <v>2022</v>
      </c>
      <c r="C326" t="s">
        <v>34</v>
      </c>
      <c r="D326" s="1">
        <v>166.7</v>
      </c>
    </row>
    <row r="327" spans="1:4">
      <c r="A327" t="s">
        <v>32</v>
      </c>
      <c r="B327">
        <v>2022</v>
      </c>
      <c r="C327" t="s">
        <v>34</v>
      </c>
      <c r="D327" s="1">
        <v>165.5</v>
      </c>
    </row>
    <row r="328" spans="1:4">
      <c r="A328" t="s">
        <v>33</v>
      </c>
      <c r="B328">
        <v>2022</v>
      </c>
      <c r="C328" t="s">
        <v>34</v>
      </c>
      <c r="D328" s="1">
        <v>166.1</v>
      </c>
    </row>
    <row r="329" spans="1:4">
      <c r="A329" t="s">
        <v>30</v>
      </c>
      <c r="B329">
        <v>2022</v>
      </c>
      <c r="C329" t="s">
        <v>35</v>
      </c>
      <c r="D329" s="1">
        <v>168.7</v>
      </c>
    </row>
    <row r="330" spans="1:4">
      <c r="A330" t="s">
        <v>32</v>
      </c>
      <c r="B330">
        <v>2022</v>
      </c>
      <c r="C330" t="s">
        <v>35</v>
      </c>
      <c r="D330" s="1">
        <v>166.5</v>
      </c>
    </row>
    <row r="331" spans="1:4">
      <c r="A331" t="s">
        <v>33</v>
      </c>
      <c r="B331">
        <v>2022</v>
      </c>
      <c r="C331" t="s">
        <v>35</v>
      </c>
      <c r="D331" s="1">
        <v>167.7</v>
      </c>
    </row>
    <row r="332" spans="1:4">
      <c r="A332" t="s">
        <v>30</v>
      </c>
      <c r="B332">
        <v>2022</v>
      </c>
      <c r="C332" t="s">
        <v>36</v>
      </c>
      <c r="D332" s="1">
        <v>170.8</v>
      </c>
    </row>
    <row r="333" spans="1:4">
      <c r="A333" t="s">
        <v>32</v>
      </c>
      <c r="B333">
        <v>2022</v>
      </c>
      <c r="C333" t="s">
        <v>36</v>
      </c>
      <c r="D333" s="1">
        <v>169.2</v>
      </c>
    </row>
    <row r="334" spans="1:4">
      <c r="A334" t="s">
        <v>33</v>
      </c>
      <c r="B334">
        <v>2022</v>
      </c>
      <c r="C334" t="s">
        <v>36</v>
      </c>
      <c r="D334" s="1">
        <v>170.1</v>
      </c>
    </row>
    <row r="335" spans="1:4">
      <c r="A335" t="s">
        <v>30</v>
      </c>
      <c r="B335">
        <v>2022</v>
      </c>
      <c r="C335" t="s">
        <v>37</v>
      </c>
      <c r="D335" s="1">
        <v>172.5</v>
      </c>
    </row>
    <row r="336" spans="1:4">
      <c r="A336" t="s">
        <v>32</v>
      </c>
      <c r="B336">
        <v>2022</v>
      </c>
      <c r="C336" t="s">
        <v>37</v>
      </c>
      <c r="D336" s="1">
        <v>170.8</v>
      </c>
    </row>
    <row r="337" spans="1:4">
      <c r="A337" t="s">
        <v>33</v>
      </c>
      <c r="B337">
        <v>2022</v>
      </c>
      <c r="C337" t="s">
        <v>37</v>
      </c>
      <c r="D337" s="1">
        <v>171.7</v>
      </c>
    </row>
    <row r="338" spans="1:4">
      <c r="A338" t="s">
        <v>30</v>
      </c>
      <c r="B338">
        <v>2022</v>
      </c>
      <c r="C338" t="s">
        <v>38</v>
      </c>
      <c r="D338" s="1">
        <v>173.6</v>
      </c>
    </row>
    <row r="339" spans="1:4">
      <c r="A339" t="s">
        <v>32</v>
      </c>
      <c r="B339">
        <v>2022</v>
      </c>
      <c r="C339" t="s">
        <v>38</v>
      </c>
      <c r="D339" s="1">
        <v>171.4</v>
      </c>
    </row>
    <row r="340" spans="1:4">
      <c r="A340" t="s">
        <v>33</v>
      </c>
      <c r="B340">
        <v>2022</v>
      </c>
      <c r="C340" t="s">
        <v>38</v>
      </c>
      <c r="D340" s="1">
        <v>172.6</v>
      </c>
    </row>
    <row r="341" spans="1:4">
      <c r="A341" t="s">
        <v>30</v>
      </c>
      <c r="B341">
        <v>2022</v>
      </c>
      <c r="C341" t="s">
        <v>39</v>
      </c>
      <c r="D341" s="1">
        <v>174.3</v>
      </c>
    </row>
    <row r="342" spans="1:4">
      <c r="A342" t="s">
        <v>32</v>
      </c>
      <c r="B342">
        <v>2022</v>
      </c>
      <c r="C342" t="s">
        <v>39</v>
      </c>
      <c r="D342" s="1">
        <v>172.3</v>
      </c>
    </row>
    <row r="343" spans="1:4">
      <c r="A343" t="s">
        <v>33</v>
      </c>
      <c r="B343">
        <v>2022</v>
      </c>
      <c r="C343" t="s">
        <v>39</v>
      </c>
      <c r="D343" s="1">
        <v>173.4</v>
      </c>
    </row>
    <row r="344" spans="1:4">
      <c r="A344" t="s">
        <v>30</v>
      </c>
      <c r="B344">
        <v>2022</v>
      </c>
      <c r="C344" t="s">
        <v>40</v>
      </c>
      <c r="D344" s="1">
        <v>175.3</v>
      </c>
    </row>
    <row r="345" spans="1:4">
      <c r="A345" t="s">
        <v>32</v>
      </c>
      <c r="B345">
        <v>2022</v>
      </c>
      <c r="C345" t="s">
        <v>40</v>
      </c>
      <c r="D345" s="1">
        <v>173.1</v>
      </c>
    </row>
    <row r="346" spans="1:4">
      <c r="A346" t="s">
        <v>33</v>
      </c>
      <c r="B346">
        <v>2022</v>
      </c>
      <c r="C346" t="s">
        <v>40</v>
      </c>
      <c r="D346" s="1">
        <v>174.3</v>
      </c>
    </row>
    <row r="347" spans="1:4">
      <c r="A347" t="s">
        <v>30</v>
      </c>
      <c r="B347">
        <v>2022</v>
      </c>
      <c r="C347" t="s">
        <v>41</v>
      </c>
      <c r="D347" s="1">
        <v>176.4</v>
      </c>
    </row>
    <row r="348" spans="1:4">
      <c r="A348" t="s">
        <v>32</v>
      </c>
      <c r="B348">
        <v>2022</v>
      </c>
      <c r="C348" t="s">
        <v>41</v>
      </c>
      <c r="D348" s="1">
        <v>174.1</v>
      </c>
    </row>
    <row r="349" spans="1:4">
      <c r="A349" t="s">
        <v>33</v>
      </c>
      <c r="B349">
        <v>2022</v>
      </c>
      <c r="C349" t="s">
        <v>41</v>
      </c>
      <c r="D349" s="1">
        <v>175.3</v>
      </c>
    </row>
    <row r="350" spans="1:4">
      <c r="A350" t="s">
        <v>30</v>
      </c>
      <c r="B350">
        <v>2022</v>
      </c>
      <c r="C350" t="s">
        <v>42</v>
      </c>
      <c r="D350" s="1">
        <v>177.9</v>
      </c>
    </row>
    <row r="351" spans="1:4">
      <c r="A351" t="s">
        <v>32</v>
      </c>
      <c r="B351">
        <v>2022</v>
      </c>
      <c r="C351" t="s">
        <v>42</v>
      </c>
      <c r="D351" s="1">
        <v>175.3</v>
      </c>
    </row>
    <row r="352" spans="1:4">
      <c r="A352" t="s">
        <v>33</v>
      </c>
      <c r="B352">
        <v>2022</v>
      </c>
      <c r="C352" t="s">
        <v>42</v>
      </c>
      <c r="D352" s="1">
        <v>176.7</v>
      </c>
    </row>
    <row r="353" spans="1:4">
      <c r="A353" t="s">
        <v>30</v>
      </c>
      <c r="B353">
        <v>2022</v>
      </c>
      <c r="C353" t="s">
        <v>44</v>
      </c>
      <c r="D353" s="1">
        <v>177.8</v>
      </c>
    </row>
    <row r="354" spans="1:4">
      <c r="A354" t="s">
        <v>32</v>
      </c>
      <c r="B354">
        <v>2022</v>
      </c>
      <c r="C354" t="s">
        <v>44</v>
      </c>
      <c r="D354" s="1">
        <v>174.1</v>
      </c>
    </row>
    <row r="355" spans="1:4">
      <c r="A355" t="s">
        <v>33</v>
      </c>
      <c r="B355">
        <v>2022</v>
      </c>
      <c r="C355" t="s">
        <v>44</v>
      </c>
      <c r="D355" s="1">
        <v>176.5</v>
      </c>
    </row>
    <row r="356" spans="1:4">
      <c r="A356" t="s">
        <v>30</v>
      </c>
      <c r="B356">
        <v>2022</v>
      </c>
      <c r="C356" t="s">
        <v>45</v>
      </c>
      <c r="D356" s="1">
        <v>177.1</v>
      </c>
    </row>
    <row r="357" spans="1:4">
      <c r="A357" t="s">
        <v>32</v>
      </c>
      <c r="B357">
        <v>2022</v>
      </c>
      <c r="C357" t="s">
        <v>45</v>
      </c>
      <c r="D357" s="1">
        <v>174.1</v>
      </c>
    </row>
    <row r="358" spans="1:4">
      <c r="A358" t="s">
        <v>33</v>
      </c>
      <c r="B358">
        <v>2022</v>
      </c>
      <c r="C358" t="s">
        <v>45</v>
      </c>
      <c r="D358" s="1">
        <v>175.7</v>
      </c>
    </row>
    <row r="359" spans="1:4">
      <c r="A359" t="s">
        <v>30</v>
      </c>
      <c r="B359">
        <v>2023</v>
      </c>
      <c r="C359" t="s">
        <v>31</v>
      </c>
      <c r="D359" s="1">
        <v>177.8</v>
      </c>
    </row>
    <row r="360" spans="1:4">
      <c r="A360" t="s">
        <v>32</v>
      </c>
      <c r="B360">
        <v>2023</v>
      </c>
      <c r="C360" t="s">
        <v>31</v>
      </c>
      <c r="D360" s="1">
        <v>174.9</v>
      </c>
    </row>
    <row r="361" spans="1:4">
      <c r="A361" t="s">
        <v>33</v>
      </c>
      <c r="B361">
        <v>2023</v>
      </c>
      <c r="C361" t="s">
        <v>31</v>
      </c>
      <c r="D361" s="1">
        <v>176.5</v>
      </c>
    </row>
    <row r="362" spans="1:4">
      <c r="A362" t="s">
        <v>30</v>
      </c>
      <c r="B362">
        <v>2023</v>
      </c>
      <c r="C362" t="s">
        <v>34</v>
      </c>
      <c r="D362" s="1">
        <v>178</v>
      </c>
    </row>
    <row r="363" spans="1:4">
      <c r="A363" t="s">
        <v>32</v>
      </c>
      <c r="B363">
        <v>2023</v>
      </c>
      <c r="C363" t="s">
        <v>34</v>
      </c>
      <c r="D363" s="1">
        <v>176.3</v>
      </c>
    </row>
    <row r="364" spans="1:4">
      <c r="A364" t="s">
        <v>33</v>
      </c>
      <c r="B364">
        <v>2023</v>
      </c>
      <c r="C364" t="s">
        <v>34</v>
      </c>
      <c r="D364" s="1">
        <v>177.2</v>
      </c>
    </row>
    <row r="365" spans="1:4">
      <c r="A365" t="s">
        <v>30</v>
      </c>
      <c r="B365">
        <v>2023</v>
      </c>
      <c r="C365" t="s">
        <v>35</v>
      </c>
      <c r="D365" s="1">
        <v>178</v>
      </c>
    </row>
    <row r="366" spans="1:4">
      <c r="A366" t="s">
        <v>32</v>
      </c>
      <c r="B366">
        <v>2023</v>
      </c>
      <c r="C366" t="s">
        <v>35</v>
      </c>
      <c r="D366" s="1">
        <v>176.3</v>
      </c>
    </row>
    <row r="367" spans="1:4">
      <c r="A367" t="s">
        <v>33</v>
      </c>
      <c r="B367">
        <v>2023</v>
      </c>
      <c r="C367" t="s">
        <v>35</v>
      </c>
      <c r="D367" s="1">
        <v>177.2</v>
      </c>
    </row>
    <row r="368" spans="1:4">
      <c r="A368" t="s">
        <v>30</v>
      </c>
      <c r="B368">
        <v>2023</v>
      </c>
      <c r="C368" t="s">
        <v>36</v>
      </c>
      <c r="D368" s="1">
        <v>178.8</v>
      </c>
    </row>
    <row r="369" spans="1:4">
      <c r="A369" t="s">
        <v>32</v>
      </c>
      <c r="B369">
        <v>2023</v>
      </c>
      <c r="C369" t="s">
        <v>36</v>
      </c>
      <c r="D369" s="1">
        <v>177.4</v>
      </c>
    </row>
    <row r="370" spans="1:4">
      <c r="A370" t="s">
        <v>33</v>
      </c>
      <c r="B370">
        <v>2023</v>
      </c>
      <c r="C370" t="s">
        <v>36</v>
      </c>
      <c r="D370" s="1">
        <v>178.1</v>
      </c>
    </row>
    <row r="371" spans="1:4">
      <c r="A371" t="s">
        <v>30</v>
      </c>
      <c r="B371">
        <v>2023</v>
      </c>
      <c r="C371" t="s">
        <v>37</v>
      </c>
      <c r="D371" s="1">
        <v>179.8</v>
      </c>
    </row>
    <row r="372" spans="1:4">
      <c r="A372" t="s">
        <v>32</v>
      </c>
      <c r="B372">
        <v>2023</v>
      </c>
      <c r="C372" t="s">
        <v>37</v>
      </c>
      <c r="D372" s="1">
        <v>178.2</v>
      </c>
    </row>
    <row r="373" spans="1:4">
      <c r="A373" t="s">
        <v>33</v>
      </c>
      <c r="B373">
        <v>2023</v>
      </c>
      <c r="C373" t="s">
        <v>37</v>
      </c>
      <c r="D373" s="1">
        <v>179.1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EE27-4737-4FCE-83F8-669BCA2823B6}">
  <dimension ref="A2:J39"/>
  <sheetViews>
    <sheetView workbookViewId="0">
      <selection activeCell="O19" sqref="O19"/>
    </sheetView>
  </sheetViews>
  <sheetFormatPr defaultRowHeight="14.4"/>
  <cols>
    <col min="1" max="1" width="6.88671875" bestFit="1" customWidth="1"/>
    <col min="2" max="2" width="11.109375" hidden="1" customWidth="1"/>
    <col min="3" max="3" width="17.44140625" bestFit="1" customWidth="1"/>
    <col min="4" max="4" width="14.6640625" customWidth="1"/>
    <col min="10" max="10" width="11.88671875" customWidth="1"/>
  </cols>
  <sheetData>
    <row r="2" spans="1:10">
      <c r="F2" s="43" t="s">
        <v>56</v>
      </c>
      <c r="G2" s="43" t="s">
        <v>57</v>
      </c>
      <c r="H2" s="43"/>
      <c r="I2" s="43"/>
      <c r="J2" s="43"/>
    </row>
    <row r="5" spans="1:10" ht="15.6">
      <c r="A5" t="s">
        <v>1</v>
      </c>
      <c r="B5" t="s">
        <v>0</v>
      </c>
      <c r="C5" s="38" t="s">
        <v>142</v>
      </c>
      <c r="D5" t="s">
        <v>141</v>
      </c>
    </row>
    <row r="6" spans="1:10">
      <c r="A6">
        <v>2016</v>
      </c>
      <c r="B6" t="s">
        <v>33</v>
      </c>
      <c r="C6" s="39">
        <v>129.19999999999999</v>
      </c>
      <c r="D6" s="40"/>
    </row>
    <row r="7" spans="1:10">
      <c r="A7">
        <v>2017</v>
      </c>
      <c r="B7" t="s">
        <v>33</v>
      </c>
      <c r="C7" s="39">
        <v>133.5</v>
      </c>
      <c r="D7" s="41">
        <f>(Table2_1[[#This Row],[Avg General index]]-C6)/C6</f>
        <v>3.3281733746130124E-2</v>
      </c>
    </row>
    <row r="8" spans="1:10">
      <c r="A8">
        <v>2018</v>
      </c>
      <c r="B8" t="s">
        <v>33</v>
      </c>
      <c r="C8" s="39">
        <v>138.77500000000001</v>
      </c>
      <c r="D8" s="41">
        <f>(Table2_1[[#This Row],[Avg General index]]-C7)/C7</f>
        <v>3.9513108614232254E-2</v>
      </c>
    </row>
    <row r="9" spans="1:10">
      <c r="A9">
        <v>2019</v>
      </c>
      <c r="B9" t="s">
        <v>33</v>
      </c>
      <c r="C9" s="39">
        <v>144.18181818181819</v>
      </c>
      <c r="D9" s="41">
        <f>(Table2_1[[#This Row],[Avg General index]]-C8)/C8</f>
        <v>3.8961038961038953E-2</v>
      </c>
    </row>
    <row r="10" spans="1:10">
      <c r="A10">
        <v>2020</v>
      </c>
      <c r="B10" t="s">
        <v>33</v>
      </c>
      <c r="C10" s="39">
        <v>152.91666666666666</v>
      </c>
      <c r="D10" s="41">
        <f>(Table2_1[[#This Row],[Avg General index]]-C9)/C9</f>
        <v>6.0582177385455974E-2</v>
      </c>
    </row>
    <row r="11" spans="1:10">
      <c r="A11">
        <v>2021</v>
      </c>
      <c r="B11" t="s">
        <v>33</v>
      </c>
      <c r="C11" s="39">
        <v>161.45833333333334</v>
      </c>
      <c r="D11" s="41">
        <f>(Table2_1[[#This Row],[Avg General index]]-C10)/C10</f>
        <v>5.5858310626703121E-2</v>
      </c>
    </row>
    <row r="12" spans="1:10">
      <c r="A12">
        <v>2022</v>
      </c>
      <c r="B12" t="s">
        <v>33</v>
      </c>
      <c r="C12" s="39">
        <v>172.15</v>
      </c>
      <c r="D12" s="41">
        <f>(Table2_1[[#This Row],[Avg General index]]-C11)/C11</f>
        <v>6.6219354838709651E-2</v>
      </c>
    </row>
    <row r="13" spans="1:10">
      <c r="A13" t="s">
        <v>53</v>
      </c>
      <c r="C13" s="39">
        <f>SUM(C6:C12)</f>
        <v>1032.1818181818182</v>
      </c>
      <c r="D13" s="41"/>
    </row>
    <row r="24" spans="3:8">
      <c r="C24" t="s">
        <v>65</v>
      </c>
    </row>
    <row r="26" spans="3:8">
      <c r="D26" s="5" t="s">
        <v>58</v>
      </c>
      <c r="E26" s="51" t="s">
        <v>59</v>
      </c>
      <c r="F26" s="51"/>
      <c r="G26" s="51"/>
      <c r="H26" s="51"/>
    </row>
    <row r="27" spans="3:8">
      <c r="D27" s="4" t="s">
        <v>60</v>
      </c>
      <c r="E27" s="52" t="s">
        <v>61</v>
      </c>
      <c r="F27" s="52"/>
      <c r="G27" s="52"/>
      <c r="H27" s="52"/>
    </row>
    <row r="28" spans="3:8">
      <c r="D28" s="4">
        <v>2020</v>
      </c>
      <c r="E28" s="52" t="s">
        <v>62</v>
      </c>
      <c r="F28" s="52"/>
      <c r="G28" s="52"/>
      <c r="H28" s="52"/>
    </row>
    <row r="29" spans="3:8">
      <c r="D29" s="4">
        <v>2021</v>
      </c>
      <c r="E29" s="52" t="s">
        <v>63</v>
      </c>
      <c r="F29" s="52"/>
      <c r="G29" s="52"/>
      <c r="H29" s="52"/>
    </row>
    <row r="30" spans="3:8">
      <c r="D30" s="4">
        <v>2022</v>
      </c>
      <c r="E30" s="52" t="s">
        <v>64</v>
      </c>
      <c r="F30" s="52"/>
      <c r="G30" s="52"/>
      <c r="H30" s="52"/>
    </row>
    <row r="33" spans="4:4">
      <c r="D33" t="s">
        <v>66</v>
      </c>
    </row>
    <row r="35" spans="4:4">
      <c r="D35" t="s">
        <v>67</v>
      </c>
    </row>
    <row r="36" spans="4:4">
      <c r="D36" t="s">
        <v>68</v>
      </c>
    </row>
    <row r="37" spans="4:4">
      <c r="D37" t="s">
        <v>69</v>
      </c>
    </row>
    <row r="38" spans="4:4">
      <c r="D38" t="s">
        <v>70</v>
      </c>
    </row>
    <row r="39" spans="4:4">
      <c r="D39" t="s">
        <v>71</v>
      </c>
    </row>
  </sheetData>
  <mergeCells count="5">
    <mergeCell ref="E26:H26"/>
    <mergeCell ref="E27:H27"/>
    <mergeCell ref="E28:H28"/>
    <mergeCell ref="E29:H29"/>
    <mergeCell ref="E30:H30"/>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53D5-6B7C-4692-BFF4-A66B80E93E87}">
  <dimension ref="A3:D20"/>
  <sheetViews>
    <sheetView workbookViewId="0">
      <selection activeCell="E23" sqref="E23"/>
    </sheetView>
  </sheetViews>
  <sheetFormatPr defaultRowHeight="14.4"/>
  <cols>
    <col min="1" max="1" width="11.88671875" bestFit="1" customWidth="1"/>
    <col min="2" max="2" width="9.77734375" bestFit="1" customWidth="1"/>
    <col min="3" max="3" width="8" bestFit="1" customWidth="1"/>
    <col min="4" max="5" width="10.5546875" bestFit="1" customWidth="1"/>
    <col min="6" max="6" width="11.88671875" bestFit="1" customWidth="1"/>
    <col min="7" max="7" width="10.6640625" bestFit="1" customWidth="1"/>
    <col min="8" max="8" width="16.44140625" bestFit="1" customWidth="1"/>
    <col min="9" max="9" width="15.21875" bestFit="1" customWidth="1"/>
  </cols>
  <sheetData>
    <row r="3" spans="1:4">
      <c r="A3" s="3" t="s">
        <v>130</v>
      </c>
      <c r="D3" s="44"/>
    </row>
    <row r="4" spans="1:4">
      <c r="A4" s="3" t="s">
        <v>1</v>
      </c>
      <c r="B4" s="3" t="s">
        <v>2</v>
      </c>
      <c r="C4" t="s">
        <v>135</v>
      </c>
      <c r="D4" s="44" t="s">
        <v>145</v>
      </c>
    </row>
    <row r="5" spans="1:4">
      <c r="A5">
        <v>2022</v>
      </c>
      <c r="B5" t="s">
        <v>37</v>
      </c>
      <c r="C5">
        <v>2238.9000000000005</v>
      </c>
    </row>
    <row r="6" spans="1:4">
      <c r="B6" t="s">
        <v>38</v>
      </c>
      <c r="C6">
        <v>2261.9</v>
      </c>
      <c r="D6" s="45">
        <f>(C6-C5)/C5</f>
        <v>1.0272901871454526E-2</v>
      </c>
    </row>
    <row r="7" spans="1:4">
      <c r="B7" t="s">
        <v>39</v>
      </c>
      <c r="C7">
        <v>2266.3000000000002</v>
      </c>
      <c r="D7" s="45">
        <f t="shared" ref="D7:D12" si="0">(C7-C6)/C6</f>
        <v>1.9452672531942573E-3</v>
      </c>
    </row>
    <row r="8" spans="1:4">
      <c r="B8" t="s">
        <v>40</v>
      </c>
      <c r="C8">
        <v>2269.2000000000003</v>
      </c>
      <c r="D8" s="45">
        <f t="shared" si="0"/>
        <v>1.279618761858576E-3</v>
      </c>
    </row>
    <row r="9" spans="1:4">
      <c r="B9" t="s">
        <v>41</v>
      </c>
      <c r="C9">
        <v>2280.9</v>
      </c>
      <c r="D9" s="45">
        <f t="shared" si="0"/>
        <v>5.1560021152828386E-3</v>
      </c>
    </row>
    <row r="10" spans="1:4">
      <c r="B10" t="s">
        <v>42</v>
      </c>
      <c r="C10">
        <v>2297.3000000000002</v>
      </c>
      <c r="D10" s="45">
        <f t="shared" si="0"/>
        <v>7.1901442413082953E-3</v>
      </c>
    </row>
    <row r="11" spans="1:4">
      <c r="B11" t="s">
        <v>44</v>
      </c>
      <c r="C11">
        <v>2296.8000000000002</v>
      </c>
      <c r="D11" s="45">
        <f t="shared" si="0"/>
        <v>-2.1764680276846731E-4</v>
      </c>
    </row>
    <row r="12" spans="1:4">
      <c r="B12" t="s">
        <v>45</v>
      </c>
      <c r="C12">
        <v>2283.4</v>
      </c>
      <c r="D12" s="45">
        <f t="shared" si="0"/>
        <v>-5.8342041100662182E-3</v>
      </c>
    </row>
    <row r="13" spans="1:4" hidden="1">
      <c r="A13" t="s">
        <v>143</v>
      </c>
      <c r="C13">
        <v>18194.7</v>
      </c>
      <c r="D13" s="45"/>
    </row>
    <row r="14" spans="1:4">
      <c r="A14">
        <v>2023</v>
      </c>
      <c r="B14" t="s">
        <v>31</v>
      </c>
      <c r="C14">
        <v>2292.6999999999998</v>
      </c>
      <c r="D14" s="45">
        <f>(C14-C12)/C12</f>
        <v>4.0728737847068961E-3</v>
      </c>
    </row>
    <row r="15" spans="1:4">
      <c r="B15" t="s">
        <v>34</v>
      </c>
      <c r="C15">
        <v>2279.1</v>
      </c>
      <c r="D15" s="45">
        <f>(C15-C14)/C14</f>
        <v>-5.9318707201116193E-3</v>
      </c>
    </row>
    <row r="16" spans="1:4">
      <c r="B16" t="s">
        <v>35</v>
      </c>
      <c r="C16">
        <v>2279.1999999999998</v>
      </c>
      <c r="D16" s="45">
        <f t="shared" ref="D16:D18" si="1">(C16-C15)/C15</f>
        <v>4.3876968978943027E-5</v>
      </c>
    </row>
    <row r="17" spans="1:4">
      <c r="B17" t="s">
        <v>36</v>
      </c>
      <c r="C17">
        <v>2289.6000000000004</v>
      </c>
      <c r="D17" s="45">
        <f t="shared" si="1"/>
        <v>4.5630045630048032E-3</v>
      </c>
    </row>
    <row r="18" spans="1:4">
      <c r="B18" t="s">
        <v>37</v>
      </c>
      <c r="C18">
        <v>2306.9</v>
      </c>
      <c r="D18" s="45">
        <f t="shared" si="1"/>
        <v>7.5559049615652185E-3</v>
      </c>
    </row>
    <row r="19" spans="1:4" hidden="1">
      <c r="A19" t="s">
        <v>144</v>
      </c>
      <c r="C19">
        <v>11447.499999999998</v>
      </c>
    </row>
    <row r="20" spans="1:4">
      <c r="A20" t="s">
        <v>55</v>
      </c>
      <c r="C20">
        <v>29642.200000000004</v>
      </c>
    </row>
  </sheetData>
  <conditionalFormatting sqref="D6:D18">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0A5B-A0EC-4C46-A8A0-EA63724E8A02}">
  <dimension ref="A3:Q38"/>
  <sheetViews>
    <sheetView workbookViewId="0">
      <selection activeCell="J1" sqref="J1:J1048576"/>
    </sheetView>
  </sheetViews>
  <sheetFormatPr defaultRowHeight="14.4"/>
  <cols>
    <col min="1" max="1" width="36.6640625" bestFit="1" customWidth="1"/>
    <col min="2" max="2" width="10.33203125" bestFit="1" customWidth="1"/>
    <col min="3" max="9" width="10.44140625" bestFit="1" customWidth="1"/>
    <col min="10" max="10" width="11.88671875" hidden="1" customWidth="1"/>
    <col min="11" max="15" width="9.21875" bestFit="1" customWidth="1"/>
    <col min="16" max="16" width="9.44140625" hidden="1" customWidth="1"/>
    <col min="17" max="17" width="12.5546875" bestFit="1" customWidth="1"/>
    <col min="18" max="18" width="11" bestFit="1" customWidth="1"/>
    <col min="19" max="19" width="12" bestFit="1" customWidth="1"/>
    <col min="20" max="20" width="14.88671875" bestFit="1" customWidth="1"/>
    <col min="21" max="21" width="9.44140625" bestFit="1" customWidth="1"/>
    <col min="22" max="22" width="12.21875" bestFit="1" customWidth="1"/>
    <col min="23" max="23" width="11.33203125" bestFit="1" customWidth="1"/>
    <col min="24" max="24" width="14.21875" bestFit="1" customWidth="1"/>
    <col min="25" max="25" width="11.33203125" bestFit="1" customWidth="1"/>
    <col min="26" max="26" width="14.21875" bestFit="1" customWidth="1"/>
    <col min="27" max="27" width="10.5546875" bestFit="1" customWidth="1"/>
    <col min="28" max="28" width="29.5546875" bestFit="1" customWidth="1"/>
    <col min="29" max="29" width="22.6640625" bestFit="1" customWidth="1"/>
    <col min="30" max="30" width="14.33203125" bestFit="1" customWidth="1"/>
    <col min="31" max="31" width="26.6640625" bestFit="1" customWidth="1"/>
    <col min="32" max="32" width="22" bestFit="1" customWidth="1"/>
    <col min="33" max="33" width="16.33203125" bestFit="1" customWidth="1"/>
    <col min="34" max="34" width="20.88671875" bestFit="1" customWidth="1"/>
    <col min="35" max="35" width="28.5546875" bestFit="1" customWidth="1"/>
    <col min="36" max="36" width="32" bestFit="1" customWidth="1"/>
    <col min="37" max="37" width="17.33203125" bestFit="1" customWidth="1"/>
    <col min="38" max="38" width="32.44140625" bestFit="1" customWidth="1"/>
    <col min="39" max="39" width="42.33203125" bestFit="1" customWidth="1"/>
    <col min="40" max="40" width="28.21875" bestFit="1" customWidth="1"/>
    <col min="41" max="104" width="37.77734375" bestFit="1" customWidth="1"/>
    <col min="105" max="105" width="29.33203125" bestFit="1" customWidth="1"/>
    <col min="106" max="106" width="22.5546875" bestFit="1" customWidth="1"/>
    <col min="107" max="107" width="14.21875" bestFit="1" customWidth="1"/>
    <col min="108" max="108" width="26.5546875" bestFit="1" customWidth="1"/>
    <col min="109" max="109" width="21.88671875" bestFit="1" customWidth="1"/>
    <col min="110" max="110" width="16.21875" bestFit="1" customWidth="1"/>
    <col min="111" max="111" width="20.77734375" bestFit="1" customWidth="1"/>
    <col min="112" max="112" width="28.44140625" bestFit="1" customWidth="1"/>
    <col min="113" max="113" width="31.88671875" bestFit="1" customWidth="1"/>
    <col min="114" max="114" width="17.21875" bestFit="1" customWidth="1"/>
    <col min="115" max="115" width="32.33203125" bestFit="1" customWidth="1"/>
    <col min="116" max="116" width="42.21875" bestFit="1" customWidth="1"/>
    <col min="117" max="117" width="28.109375" bestFit="1" customWidth="1"/>
    <col min="118" max="182" width="37.77734375" bestFit="1" customWidth="1"/>
    <col min="183" max="183" width="29.33203125" bestFit="1" customWidth="1"/>
    <col min="184" max="184" width="22.5546875" bestFit="1" customWidth="1"/>
    <col min="185" max="185" width="14.21875" bestFit="1" customWidth="1"/>
    <col min="186" max="186" width="26.5546875" bestFit="1" customWidth="1"/>
    <col min="187" max="187" width="21.88671875" bestFit="1" customWidth="1"/>
    <col min="188" max="188" width="16.21875" bestFit="1" customWidth="1"/>
    <col min="189" max="189" width="20.77734375" bestFit="1" customWidth="1"/>
    <col min="190" max="190" width="28.44140625" bestFit="1" customWidth="1"/>
    <col min="191" max="191" width="31.88671875" bestFit="1" customWidth="1"/>
    <col min="192" max="192" width="17.21875" bestFit="1" customWidth="1"/>
    <col min="193" max="193" width="32.33203125" bestFit="1" customWidth="1"/>
    <col min="194" max="194" width="42.21875" bestFit="1" customWidth="1"/>
    <col min="195" max="195" width="28.109375" bestFit="1" customWidth="1"/>
    <col min="196" max="196" width="29.5546875" bestFit="1" customWidth="1"/>
    <col min="197" max="197" width="22.6640625" bestFit="1" customWidth="1"/>
    <col min="198" max="198" width="14.33203125" bestFit="1" customWidth="1"/>
    <col min="199" max="199" width="26.6640625" bestFit="1" customWidth="1"/>
    <col min="200" max="200" width="22" bestFit="1" customWidth="1"/>
    <col min="201" max="201" width="16.33203125" bestFit="1" customWidth="1"/>
    <col min="202" max="202" width="20.88671875" bestFit="1" customWidth="1"/>
    <col min="203" max="203" width="28.5546875" bestFit="1" customWidth="1"/>
    <col min="204" max="204" width="32" bestFit="1" customWidth="1"/>
    <col min="205" max="205" width="17.33203125" bestFit="1" customWidth="1"/>
    <col min="206" max="206" width="32.44140625" bestFit="1" customWidth="1"/>
    <col min="207" max="207" width="42.33203125" bestFit="1" customWidth="1"/>
    <col min="208" max="208" width="28.21875" bestFit="1" customWidth="1"/>
  </cols>
  <sheetData>
    <row r="3" spans="1:17">
      <c r="B3" s="3" t="s">
        <v>1</v>
      </c>
      <c r="C3" s="3" t="s">
        <v>2</v>
      </c>
    </row>
    <row r="4" spans="1:17">
      <c r="B4">
        <v>2022</v>
      </c>
      <c r="J4" t="s">
        <v>143</v>
      </c>
      <c r="K4">
        <v>2023</v>
      </c>
      <c r="P4" t="s">
        <v>144</v>
      </c>
      <c r="Q4" t="s">
        <v>55</v>
      </c>
    </row>
    <row r="5" spans="1:17">
      <c r="A5" s="3" t="s">
        <v>134</v>
      </c>
      <c r="B5" t="s">
        <v>37</v>
      </c>
      <c r="C5" t="s">
        <v>38</v>
      </c>
      <c r="D5" t="s">
        <v>39</v>
      </c>
      <c r="E5" t="s">
        <v>40</v>
      </c>
      <c r="F5" t="s">
        <v>41</v>
      </c>
      <c r="G5" t="s">
        <v>42</v>
      </c>
      <c r="H5" t="s">
        <v>44</v>
      </c>
      <c r="I5" t="s">
        <v>45</v>
      </c>
      <c r="K5" t="s">
        <v>31</v>
      </c>
      <c r="L5" t="s">
        <v>34</v>
      </c>
      <c r="M5" t="s">
        <v>35</v>
      </c>
      <c r="N5" t="s">
        <v>36</v>
      </c>
      <c r="O5" t="s">
        <v>37</v>
      </c>
    </row>
    <row r="6" spans="1:17">
      <c r="A6" t="s">
        <v>146</v>
      </c>
      <c r="B6">
        <v>463.70000000000005</v>
      </c>
      <c r="C6">
        <v>466.3</v>
      </c>
      <c r="D6">
        <v>471</v>
      </c>
      <c r="E6">
        <v>481.90000000000003</v>
      </c>
      <c r="F6">
        <v>491.3</v>
      </c>
      <c r="G6">
        <v>496.3</v>
      </c>
      <c r="H6">
        <v>502.70000000000005</v>
      </c>
      <c r="I6">
        <v>508.2</v>
      </c>
      <c r="J6">
        <v>3881.4000000000005</v>
      </c>
      <c r="K6">
        <v>521.1</v>
      </c>
      <c r="L6">
        <v>523.29999999999995</v>
      </c>
      <c r="M6">
        <v>523.4</v>
      </c>
      <c r="N6">
        <v>521.90000000000009</v>
      </c>
      <c r="O6">
        <v>521.59999999999991</v>
      </c>
      <c r="P6">
        <v>2611.3000000000002</v>
      </c>
      <c r="Q6">
        <v>6492.7000000000007</v>
      </c>
    </row>
    <row r="7" spans="1:17">
      <c r="A7" t="s">
        <v>147</v>
      </c>
      <c r="B7">
        <v>652.9</v>
      </c>
      <c r="C7">
        <v>660</v>
      </c>
      <c r="D7">
        <v>640.9</v>
      </c>
      <c r="E7">
        <v>621.5</v>
      </c>
      <c r="F7">
        <v>629.59999999999991</v>
      </c>
      <c r="G7">
        <v>634.6</v>
      </c>
      <c r="H7">
        <v>630</v>
      </c>
      <c r="I7">
        <v>628.79999999999995</v>
      </c>
      <c r="J7">
        <v>5098.3</v>
      </c>
      <c r="K7">
        <v>634.20000000000005</v>
      </c>
      <c r="L7">
        <v>625.09999999999991</v>
      </c>
      <c r="M7">
        <v>625.09999999999991</v>
      </c>
      <c r="N7">
        <v>629.90000000000009</v>
      </c>
      <c r="O7">
        <v>645.20000000000005</v>
      </c>
      <c r="P7">
        <v>3159.5</v>
      </c>
      <c r="Q7">
        <v>8257.8000000000011</v>
      </c>
    </row>
    <row r="8" spans="1:17">
      <c r="A8" t="s">
        <v>148</v>
      </c>
      <c r="B8">
        <v>487.9</v>
      </c>
      <c r="C8">
        <v>513.20000000000005</v>
      </c>
      <c r="D8">
        <v>526.09999999999991</v>
      </c>
      <c r="E8">
        <v>508.09999999999997</v>
      </c>
      <c r="F8">
        <v>509.59999999999997</v>
      </c>
      <c r="G8">
        <v>513.1</v>
      </c>
      <c r="H8">
        <v>544.79999999999995</v>
      </c>
      <c r="I8">
        <v>571.20000000000005</v>
      </c>
      <c r="J8">
        <v>4173.9999999999991</v>
      </c>
      <c r="K8">
        <v>584.4</v>
      </c>
      <c r="L8">
        <v>526.29999999999995</v>
      </c>
      <c r="M8">
        <v>526.29999999999995</v>
      </c>
      <c r="N8">
        <v>509.9</v>
      </c>
      <c r="O8">
        <v>520.9</v>
      </c>
      <c r="P8">
        <v>2667.7999999999997</v>
      </c>
      <c r="Q8">
        <v>6841.7999999999984</v>
      </c>
    </row>
    <row r="9" spans="1:17">
      <c r="A9" t="s">
        <v>149</v>
      </c>
      <c r="B9">
        <v>494.9</v>
      </c>
      <c r="C9">
        <v>497.6</v>
      </c>
      <c r="D9">
        <v>500</v>
      </c>
      <c r="E9">
        <v>504.4</v>
      </c>
      <c r="F9">
        <v>509.3</v>
      </c>
      <c r="G9">
        <v>512.79999999999995</v>
      </c>
      <c r="H9">
        <v>516.90000000000009</v>
      </c>
      <c r="I9">
        <v>520.9</v>
      </c>
      <c r="J9">
        <v>4056.8</v>
      </c>
      <c r="K9">
        <v>524.1</v>
      </c>
      <c r="L9">
        <v>532.20000000000005</v>
      </c>
      <c r="M9">
        <v>532.20000000000005</v>
      </c>
      <c r="N9">
        <v>535.4</v>
      </c>
      <c r="O9">
        <v>538.5</v>
      </c>
      <c r="P9">
        <v>2662.4</v>
      </c>
      <c r="Q9">
        <v>6719.2</v>
      </c>
    </row>
    <row r="10" spans="1:17">
      <c r="A10" t="s">
        <v>150</v>
      </c>
      <c r="B10">
        <v>601.79999999999995</v>
      </c>
      <c r="C10">
        <v>597.6</v>
      </c>
      <c r="D10">
        <v>582.79999999999995</v>
      </c>
      <c r="E10">
        <v>573</v>
      </c>
      <c r="F10">
        <v>562.09999999999991</v>
      </c>
      <c r="G10">
        <v>555.79999999999995</v>
      </c>
      <c r="H10">
        <v>562.9</v>
      </c>
      <c r="I10">
        <v>561.5</v>
      </c>
      <c r="J10">
        <v>4597.5</v>
      </c>
      <c r="K10">
        <v>557.79999999999995</v>
      </c>
      <c r="L10">
        <v>534.90000000000009</v>
      </c>
      <c r="M10">
        <v>534.70000000000005</v>
      </c>
      <c r="N10">
        <v>522.1</v>
      </c>
      <c r="O10">
        <v>507.70000000000005</v>
      </c>
      <c r="P10">
        <v>2657.2</v>
      </c>
      <c r="Q10">
        <v>7254.7000000000007</v>
      </c>
    </row>
    <row r="11" spans="1:17">
      <c r="A11" t="s">
        <v>151</v>
      </c>
      <c r="B11">
        <v>513.5</v>
      </c>
      <c r="C11">
        <v>509.59999999999997</v>
      </c>
      <c r="D11">
        <v>523.29999999999995</v>
      </c>
      <c r="E11">
        <v>519.19999999999993</v>
      </c>
      <c r="F11">
        <v>497.3</v>
      </c>
      <c r="G11">
        <v>491.7</v>
      </c>
      <c r="H11">
        <v>482.4</v>
      </c>
      <c r="I11">
        <v>474.2</v>
      </c>
      <c r="J11">
        <v>4011.2</v>
      </c>
      <c r="K11">
        <v>475.1</v>
      </c>
      <c r="L11">
        <v>508.79999999999995</v>
      </c>
      <c r="M11">
        <v>508.79999999999995</v>
      </c>
      <c r="N11">
        <v>529.20000000000005</v>
      </c>
      <c r="O11">
        <v>517</v>
      </c>
      <c r="P11">
        <v>2538.8999999999996</v>
      </c>
      <c r="Q11">
        <v>6550.1</v>
      </c>
    </row>
    <row r="12" spans="1:17">
      <c r="A12" t="s">
        <v>152</v>
      </c>
      <c r="B12">
        <v>538.5</v>
      </c>
      <c r="C12">
        <v>561.1</v>
      </c>
      <c r="D12">
        <v>559.20000000000005</v>
      </c>
      <c r="E12">
        <v>572.9</v>
      </c>
      <c r="F12">
        <v>589.5</v>
      </c>
      <c r="G12">
        <v>613.09999999999991</v>
      </c>
      <c r="H12">
        <v>560.20000000000005</v>
      </c>
      <c r="I12">
        <v>488.79999999999995</v>
      </c>
      <c r="J12">
        <v>4483.3</v>
      </c>
      <c r="K12">
        <v>472.1</v>
      </c>
      <c r="L12">
        <v>469.40000000000003</v>
      </c>
      <c r="M12">
        <v>469.6</v>
      </c>
      <c r="N12">
        <v>478.1</v>
      </c>
      <c r="O12">
        <v>494.7</v>
      </c>
      <c r="P12">
        <v>2383.8999999999996</v>
      </c>
      <c r="Q12">
        <v>6867.2000000000007</v>
      </c>
    </row>
    <row r="13" spans="1:17" hidden="1">
      <c r="A13" t="s">
        <v>153</v>
      </c>
      <c r="B13">
        <v>493.8</v>
      </c>
      <c r="C13">
        <v>492.5</v>
      </c>
      <c r="D13">
        <v>492.7</v>
      </c>
      <c r="E13">
        <v>501.59999999999997</v>
      </c>
      <c r="F13">
        <v>507.29999999999995</v>
      </c>
      <c r="G13">
        <v>509.40000000000003</v>
      </c>
      <c r="H13">
        <v>511.7</v>
      </c>
      <c r="I13">
        <v>512.6</v>
      </c>
      <c r="J13">
        <v>4021.5999999999995</v>
      </c>
      <c r="K13">
        <v>512.79999999999995</v>
      </c>
      <c r="L13">
        <v>513.6</v>
      </c>
      <c r="M13">
        <v>513.79999999999995</v>
      </c>
      <c r="N13">
        <v>520.9</v>
      </c>
      <c r="O13">
        <v>527.4</v>
      </c>
      <c r="P13">
        <v>2588.5</v>
      </c>
      <c r="Q13">
        <v>6610.0999999999995</v>
      </c>
    </row>
    <row r="14" spans="1:17">
      <c r="A14" t="s">
        <v>154</v>
      </c>
      <c r="B14">
        <v>359.8</v>
      </c>
      <c r="C14">
        <v>360.4</v>
      </c>
      <c r="D14">
        <v>360.7</v>
      </c>
      <c r="E14">
        <v>363.3</v>
      </c>
      <c r="F14">
        <v>365.5</v>
      </c>
      <c r="G14">
        <v>366.4</v>
      </c>
      <c r="H14">
        <v>367</v>
      </c>
      <c r="I14">
        <v>366.1</v>
      </c>
      <c r="J14">
        <v>2909.2</v>
      </c>
      <c r="K14">
        <v>364.1</v>
      </c>
      <c r="L14">
        <v>361</v>
      </c>
      <c r="M14">
        <v>361</v>
      </c>
      <c r="N14">
        <v>364.8</v>
      </c>
      <c r="O14">
        <v>368.8</v>
      </c>
      <c r="P14">
        <v>1819.6999999999998</v>
      </c>
      <c r="Q14">
        <v>4728.8999999999996</v>
      </c>
    </row>
    <row r="15" spans="1:17">
      <c r="A15" t="s">
        <v>155</v>
      </c>
      <c r="B15">
        <v>552.9</v>
      </c>
      <c r="C15">
        <v>559.5</v>
      </c>
      <c r="D15">
        <v>568.1</v>
      </c>
      <c r="E15">
        <v>578.9</v>
      </c>
      <c r="F15">
        <v>590</v>
      </c>
      <c r="G15">
        <v>597.9</v>
      </c>
      <c r="H15">
        <v>606.40000000000009</v>
      </c>
      <c r="I15">
        <v>613.20000000000005</v>
      </c>
      <c r="J15">
        <v>4666.9000000000005</v>
      </c>
      <c r="K15">
        <v>623.20000000000005</v>
      </c>
      <c r="L15">
        <v>626.59999999999991</v>
      </c>
      <c r="M15">
        <v>626.59999999999991</v>
      </c>
      <c r="N15">
        <v>636.20000000000005</v>
      </c>
      <c r="O15">
        <v>650.9</v>
      </c>
      <c r="P15">
        <v>3163.5</v>
      </c>
      <c r="Q15">
        <v>7830.4000000000005</v>
      </c>
    </row>
    <row r="16" spans="1:17">
      <c r="A16" t="s">
        <v>156</v>
      </c>
      <c r="B16">
        <v>498.79999999999995</v>
      </c>
      <c r="C16">
        <v>501.19999999999993</v>
      </c>
      <c r="D16">
        <v>502.70000000000005</v>
      </c>
      <c r="E16">
        <v>504.1</v>
      </c>
      <c r="F16">
        <v>505.9</v>
      </c>
      <c r="G16">
        <v>507.29999999999995</v>
      </c>
      <c r="H16">
        <v>508.9</v>
      </c>
      <c r="I16">
        <v>510.6</v>
      </c>
      <c r="J16">
        <v>4039.5</v>
      </c>
      <c r="K16">
        <v>512</v>
      </c>
      <c r="L16">
        <v>514.79999999999995</v>
      </c>
      <c r="M16">
        <v>514.79999999999995</v>
      </c>
      <c r="N16">
        <v>516.6</v>
      </c>
      <c r="O16">
        <v>518</v>
      </c>
      <c r="P16">
        <v>2576.1999999999998</v>
      </c>
      <c r="Q16">
        <v>6615.7000000000007</v>
      </c>
    </row>
    <row r="17" spans="1:17">
      <c r="A17" t="s">
        <v>157</v>
      </c>
      <c r="B17">
        <v>547.79999999999995</v>
      </c>
      <c r="C17">
        <v>552.1</v>
      </c>
      <c r="D17">
        <v>556</v>
      </c>
      <c r="E17">
        <v>559.20000000000005</v>
      </c>
      <c r="F17">
        <v>562.6</v>
      </c>
      <c r="G17">
        <v>565.40000000000009</v>
      </c>
      <c r="H17">
        <v>568.79999999999995</v>
      </c>
      <c r="I17">
        <v>571.29999999999995</v>
      </c>
      <c r="J17">
        <v>4483.2000000000007</v>
      </c>
      <c r="K17">
        <v>574</v>
      </c>
      <c r="L17">
        <v>579.5</v>
      </c>
      <c r="M17">
        <v>579.5</v>
      </c>
      <c r="N17">
        <v>581</v>
      </c>
      <c r="O17">
        <v>583</v>
      </c>
      <c r="P17">
        <v>2897</v>
      </c>
      <c r="Q17">
        <v>7380.2000000000007</v>
      </c>
    </row>
    <row r="18" spans="1:17">
      <c r="A18" t="s">
        <v>158</v>
      </c>
      <c r="B18">
        <v>521.6</v>
      </c>
      <c r="C18">
        <v>526.6</v>
      </c>
      <c r="D18">
        <v>526.9</v>
      </c>
      <c r="E18">
        <v>530.6</v>
      </c>
      <c r="F18">
        <v>535.1</v>
      </c>
      <c r="G18">
        <v>540.30000000000007</v>
      </c>
      <c r="H18">
        <v>536.20000000000005</v>
      </c>
      <c r="I18">
        <v>528.9</v>
      </c>
      <c r="J18">
        <v>4246.2</v>
      </c>
      <c r="K18">
        <v>531.20000000000005</v>
      </c>
      <c r="L18">
        <v>532.5</v>
      </c>
      <c r="M18">
        <v>532.6</v>
      </c>
      <c r="N18">
        <v>535.5</v>
      </c>
      <c r="O18">
        <v>539</v>
      </c>
      <c r="P18">
        <v>2670.8</v>
      </c>
      <c r="Q18">
        <v>6917</v>
      </c>
    </row>
    <row r="19" spans="1:17" hidden="1"/>
    <row r="23" spans="1:17" ht="18">
      <c r="A23" s="49"/>
      <c r="B23" s="49" t="s">
        <v>1</v>
      </c>
      <c r="C23" s="49" t="s">
        <v>2</v>
      </c>
      <c r="D23" s="49"/>
      <c r="E23" s="49"/>
      <c r="F23" s="49"/>
      <c r="G23" s="49"/>
      <c r="H23" s="49"/>
      <c r="I23" s="49"/>
      <c r="J23" s="49"/>
      <c r="K23" s="49"/>
      <c r="L23" s="49"/>
      <c r="M23" s="49"/>
      <c r="N23" s="49"/>
      <c r="O23" s="49"/>
      <c r="P23" s="49"/>
      <c r="Q23" s="49"/>
    </row>
    <row r="24" spans="1:17" ht="18">
      <c r="A24" s="49"/>
      <c r="B24" s="49">
        <v>2022</v>
      </c>
      <c r="C24" s="49"/>
      <c r="D24" s="49"/>
      <c r="E24" s="49"/>
      <c r="F24" s="49"/>
      <c r="G24" s="49"/>
      <c r="H24" s="49"/>
      <c r="I24" s="49"/>
      <c r="J24" s="49" t="s">
        <v>143</v>
      </c>
      <c r="K24" s="49">
        <v>2023</v>
      </c>
      <c r="L24" s="49"/>
      <c r="M24" s="49"/>
      <c r="N24" s="49"/>
      <c r="O24" s="49"/>
      <c r="P24" s="49" t="s">
        <v>144</v>
      </c>
      <c r="Q24" s="49" t="s">
        <v>55</v>
      </c>
    </row>
    <row r="25" spans="1:17" ht="18">
      <c r="A25" s="49" t="s">
        <v>134</v>
      </c>
      <c r="B25" s="49" t="s">
        <v>37</v>
      </c>
      <c r="C25" s="49" t="s">
        <v>38</v>
      </c>
      <c r="D25" s="49" t="s">
        <v>39</v>
      </c>
      <c r="E25" s="49" t="s">
        <v>40</v>
      </c>
      <c r="F25" s="49" t="s">
        <v>41</v>
      </c>
      <c r="G25" s="49" t="s">
        <v>42</v>
      </c>
      <c r="H25" s="49" t="s">
        <v>44</v>
      </c>
      <c r="I25" s="49" t="s">
        <v>45</v>
      </c>
      <c r="J25" s="49"/>
      <c r="K25" s="49" t="s">
        <v>31</v>
      </c>
      <c r="L25" s="49" t="s">
        <v>34</v>
      </c>
      <c r="M25" s="49" t="s">
        <v>35</v>
      </c>
      <c r="N25" s="49" t="s">
        <v>36</v>
      </c>
      <c r="O25" s="49" t="s">
        <v>37</v>
      </c>
      <c r="P25" s="49"/>
      <c r="Q25" s="49"/>
    </row>
    <row r="26" spans="1:17">
      <c r="A26" s="50" t="s">
        <v>146</v>
      </c>
      <c r="B26" s="2"/>
      <c r="C26" s="7">
        <f>(C6-B6)/B6</f>
        <v>5.6070735389259557E-3</v>
      </c>
      <c r="D26" s="7">
        <f t="shared" ref="D26:O26" si="0">(D6-C6)/C6</f>
        <v>1.0079348059189338E-2</v>
      </c>
      <c r="E26" s="7">
        <f t="shared" si="0"/>
        <v>2.3142250530785634E-2</v>
      </c>
      <c r="F26" s="7">
        <f t="shared" si="0"/>
        <v>1.9506121601992065E-2</v>
      </c>
      <c r="G26" s="7">
        <f t="shared" si="0"/>
        <v>1.0177081213108081E-2</v>
      </c>
      <c r="H26" s="7">
        <f t="shared" si="0"/>
        <v>1.2895426153536236E-2</v>
      </c>
      <c r="I26" s="7">
        <f t="shared" si="0"/>
        <v>1.094091903719901E-2</v>
      </c>
      <c r="J26" s="7"/>
      <c r="K26" s="7">
        <f>(K6-I6)/I6</f>
        <v>2.5383707201889087E-2</v>
      </c>
      <c r="L26" s="7">
        <f t="shared" si="0"/>
        <v>4.2218384187294794E-3</v>
      </c>
      <c r="M26" s="7">
        <f t="shared" si="0"/>
        <v>1.9109497420222196E-4</v>
      </c>
      <c r="N26" s="7">
        <f t="shared" si="0"/>
        <v>-2.865876958349038E-3</v>
      </c>
      <c r="O26" s="7">
        <f t="shared" si="0"/>
        <v>-5.7482276298176252E-4</v>
      </c>
      <c r="P26" s="2">
        <v>2611.3000000000002</v>
      </c>
      <c r="Q26" s="48">
        <f>SUM(C26:O26)</f>
        <v>0.1187041610082263</v>
      </c>
    </row>
    <row r="27" spans="1:17">
      <c r="A27" s="50" t="s">
        <v>147</v>
      </c>
      <c r="B27" s="2"/>
      <c r="C27" s="7">
        <f t="shared" ref="C27:O27" si="1">(C7-B7)/B7</f>
        <v>1.0874559656915337E-2</v>
      </c>
      <c r="D27" s="7">
        <f t="shared" si="1"/>
        <v>-2.8939393939393973E-2</v>
      </c>
      <c r="E27" s="7">
        <f t="shared" si="1"/>
        <v>-3.0269932906849709E-2</v>
      </c>
      <c r="F27" s="7">
        <f t="shared" si="1"/>
        <v>1.3032984714400498E-2</v>
      </c>
      <c r="G27" s="7">
        <f t="shared" si="1"/>
        <v>7.9415501905973854E-3</v>
      </c>
      <c r="H27" s="7">
        <f t="shared" si="1"/>
        <v>-7.248660573589698E-3</v>
      </c>
      <c r="I27" s="7">
        <f t="shared" si="1"/>
        <v>-1.904761904761977E-3</v>
      </c>
      <c r="J27" s="7"/>
      <c r="K27" s="7">
        <f t="shared" ref="K27:K38" si="2">(K7-I7)/I7</f>
        <v>8.5877862595421291E-3</v>
      </c>
      <c r="L27" s="7">
        <f t="shared" si="1"/>
        <v>-1.4348785871964894E-2</v>
      </c>
      <c r="M27" s="7">
        <f t="shared" si="1"/>
        <v>0</v>
      </c>
      <c r="N27" s="7">
        <f t="shared" si="1"/>
        <v>7.67877139657684E-3</v>
      </c>
      <c r="O27" s="7">
        <f t="shared" si="1"/>
        <v>2.4289569772979764E-2</v>
      </c>
      <c r="P27" s="2">
        <v>3159.5</v>
      </c>
      <c r="Q27" s="48">
        <f t="shared" ref="Q27:Q38" si="3">SUM(C27:O27)</f>
        <v>-1.0306313205548302E-2</v>
      </c>
    </row>
    <row r="28" spans="1:17">
      <c r="A28" s="50" t="s">
        <v>148</v>
      </c>
      <c r="B28" s="2"/>
      <c r="C28" s="7">
        <f t="shared" ref="C28:O28" si="4">(C8-B8)/B8</f>
        <v>5.1854888296782267E-2</v>
      </c>
      <c r="D28" s="7">
        <f t="shared" si="4"/>
        <v>2.513639906469186E-2</v>
      </c>
      <c r="E28" s="7">
        <f t="shared" si="4"/>
        <v>-3.4214027751377961E-2</v>
      </c>
      <c r="F28" s="7">
        <f t="shared" si="4"/>
        <v>2.9521747687463098E-3</v>
      </c>
      <c r="G28" s="7">
        <f t="shared" si="4"/>
        <v>6.8681318681319799E-3</v>
      </c>
      <c r="H28" s="7">
        <f t="shared" si="4"/>
        <v>6.1781329175599163E-2</v>
      </c>
      <c r="I28" s="7">
        <f t="shared" si="4"/>
        <v>4.8458149779735851E-2</v>
      </c>
      <c r="J28" s="7"/>
      <c r="K28" s="7">
        <f t="shared" si="2"/>
        <v>2.3109243697478871E-2</v>
      </c>
      <c r="L28" s="7">
        <f t="shared" si="4"/>
        <v>-9.9418206707734477E-2</v>
      </c>
      <c r="M28" s="7">
        <f t="shared" si="4"/>
        <v>0</v>
      </c>
      <c r="N28" s="7">
        <f t="shared" si="4"/>
        <v>-3.1160934828044801E-2</v>
      </c>
      <c r="O28" s="7">
        <f t="shared" si="4"/>
        <v>2.1572857423024124E-2</v>
      </c>
      <c r="P28" s="2">
        <v>2667.7999999999997</v>
      </c>
      <c r="Q28" s="48">
        <f t="shared" si="3"/>
        <v>7.6940004787033195E-2</v>
      </c>
    </row>
    <row r="29" spans="1:17">
      <c r="A29" s="50" t="s">
        <v>149</v>
      </c>
      <c r="B29" s="2"/>
      <c r="C29" s="7">
        <f t="shared" ref="C29:O29" si="5">(C9-B9)/B9</f>
        <v>5.4556476055769767E-3</v>
      </c>
      <c r="D29" s="7">
        <f t="shared" si="5"/>
        <v>4.8231511254018837E-3</v>
      </c>
      <c r="E29" s="7">
        <f t="shared" si="5"/>
        <v>8.7999999999999537E-3</v>
      </c>
      <c r="F29" s="7">
        <f t="shared" si="5"/>
        <v>9.7145122918319473E-3</v>
      </c>
      <c r="G29" s="7">
        <f t="shared" si="5"/>
        <v>6.8721774985272786E-3</v>
      </c>
      <c r="H29" s="7">
        <f t="shared" si="5"/>
        <v>7.9953198127927783E-3</v>
      </c>
      <c r="I29" s="7">
        <f t="shared" si="5"/>
        <v>7.7384407041978824E-3</v>
      </c>
      <c r="J29" s="7"/>
      <c r="K29" s="7">
        <f t="shared" si="2"/>
        <v>6.1432136686505002E-3</v>
      </c>
      <c r="L29" s="7">
        <f t="shared" si="5"/>
        <v>1.5455065827132269E-2</v>
      </c>
      <c r="M29" s="7">
        <f t="shared" si="5"/>
        <v>0</v>
      </c>
      <c r="N29" s="7">
        <f t="shared" si="5"/>
        <v>6.0127771514466959E-3</v>
      </c>
      <c r="O29" s="7">
        <f t="shared" si="5"/>
        <v>5.7900635039223438E-3</v>
      </c>
      <c r="P29" s="2">
        <v>2662.4</v>
      </c>
      <c r="Q29" s="48">
        <f t="shared" si="3"/>
        <v>8.4800369189480501E-2</v>
      </c>
    </row>
    <row r="30" spans="1:17">
      <c r="A30" s="50" t="s">
        <v>150</v>
      </c>
      <c r="B30" s="2"/>
      <c r="C30" s="7">
        <f t="shared" ref="C30:O30" si="6">(C10-B10)/B10</f>
        <v>-6.9790628115651912E-3</v>
      </c>
      <c r="D30" s="7">
        <f t="shared" si="6"/>
        <v>-2.4765729585006807E-2</v>
      </c>
      <c r="E30" s="7">
        <f t="shared" si="6"/>
        <v>-1.681537405627995E-2</v>
      </c>
      <c r="F30" s="7">
        <f t="shared" si="6"/>
        <v>-1.9022687609075203E-2</v>
      </c>
      <c r="G30" s="7">
        <f t="shared" si="6"/>
        <v>-1.1207970112079623E-2</v>
      </c>
      <c r="H30" s="7">
        <f t="shared" si="6"/>
        <v>1.2774379273119869E-2</v>
      </c>
      <c r="I30" s="7">
        <f t="shared" si="6"/>
        <v>-2.4871202700301603E-3</v>
      </c>
      <c r="J30" s="7"/>
      <c r="K30" s="7">
        <f t="shared" si="2"/>
        <v>-6.589492430988505E-3</v>
      </c>
      <c r="L30" s="7">
        <f t="shared" si="6"/>
        <v>-4.1054141269271899E-2</v>
      </c>
      <c r="M30" s="7">
        <f t="shared" si="6"/>
        <v>-3.7390166386248912E-4</v>
      </c>
      <c r="N30" s="7">
        <f t="shared" si="6"/>
        <v>-2.3564615672339671E-2</v>
      </c>
      <c r="O30" s="7">
        <f t="shared" si="6"/>
        <v>-2.7580923194790226E-2</v>
      </c>
      <c r="P30" s="2">
        <v>2657.2</v>
      </c>
      <c r="Q30" s="48">
        <f t="shared" si="3"/>
        <v>-0.16766663940216986</v>
      </c>
    </row>
    <row r="31" spans="1:17">
      <c r="A31" s="50" t="s">
        <v>151</v>
      </c>
      <c r="B31" s="2"/>
      <c r="C31" s="7">
        <f t="shared" ref="C31:O31" si="7">(C11-B11)/B11</f>
        <v>-7.594936708860826E-3</v>
      </c>
      <c r="D31" s="7">
        <f t="shared" si="7"/>
        <v>2.6883830455259005E-2</v>
      </c>
      <c r="E31" s="7">
        <f t="shared" si="7"/>
        <v>-7.8348939422893619E-3</v>
      </c>
      <c r="F31" s="7">
        <f t="shared" si="7"/>
        <v>-4.218027734976873E-2</v>
      </c>
      <c r="G31" s="7">
        <f t="shared" si="7"/>
        <v>-1.1260808365171973E-2</v>
      </c>
      <c r="H31" s="7">
        <f t="shared" si="7"/>
        <v>-1.8913971934106186E-2</v>
      </c>
      <c r="I31" s="7">
        <f t="shared" si="7"/>
        <v>-1.6998341625207275E-2</v>
      </c>
      <c r="J31" s="7"/>
      <c r="K31" s="7">
        <f t="shared" si="2"/>
        <v>1.8979333614509365E-3</v>
      </c>
      <c r="L31" s="7">
        <f t="shared" si="7"/>
        <v>7.0932435276783681E-2</v>
      </c>
      <c r="M31" s="7">
        <f t="shared" si="7"/>
        <v>0</v>
      </c>
      <c r="N31" s="7">
        <f t="shared" si="7"/>
        <v>4.0094339622641695E-2</v>
      </c>
      <c r="O31" s="7">
        <f t="shared" si="7"/>
        <v>-2.3053665910808853E-2</v>
      </c>
      <c r="P31" s="2">
        <v>2538.8999999999996</v>
      </c>
      <c r="Q31" s="48">
        <f t="shared" si="3"/>
        <v>1.1971642879922119E-2</v>
      </c>
    </row>
    <row r="32" spans="1:17">
      <c r="A32" s="50" t="s">
        <v>152</v>
      </c>
      <c r="B32" s="2"/>
      <c r="C32" s="7">
        <f t="shared" ref="C32:O32" si="8">(C12-B12)/B12</f>
        <v>4.1968430826369585E-2</v>
      </c>
      <c r="D32" s="7">
        <f t="shared" si="8"/>
        <v>-3.3862056674389186E-3</v>
      </c>
      <c r="E32" s="7">
        <f t="shared" si="8"/>
        <v>2.4499284692417616E-2</v>
      </c>
      <c r="F32" s="7">
        <f t="shared" si="8"/>
        <v>2.8975388374934585E-2</v>
      </c>
      <c r="G32" s="7">
        <f t="shared" si="8"/>
        <v>4.0033927056827665E-2</v>
      </c>
      <c r="H32" s="7">
        <f t="shared" si="8"/>
        <v>-8.6282824987766876E-2</v>
      </c>
      <c r="I32" s="7">
        <f t="shared" si="8"/>
        <v>-0.12745448054266348</v>
      </c>
      <c r="J32" s="7"/>
      <c r="K32" s="7">
        <f t="shared" si="2"/>
        <v>-3.4165302782323922E-2</v>
      </c>
      <c r="L32" s="7">
        <f t="shared" si="8"/>
        <v>-5.719127303537362E-3</v>
      </c>
      <c r="M32" s="7">
        <f t="shared" si="8"/>
        <v>4.2607584149976271E-4</v>
      </c>
      <c r="N32" s="7">
        <f t="shared" si="8"/>
        <v>1.8100511073253833E-2</v>
      </c>
      <c r="O32" s="7">
        <f t="shared" si="8"/>
        <v>3.4720769713448993E-2</v>
      </c>
      <c r="P32" s="2">
        <v>2383.8999999999996</v>
      </c>
      <c r="Q32" s="48">
        <f t="shared" si="3"/>
        <v>-6.8283553704978531E-2</v>
      </c>
    </row>
    <row r="33" spans="1:17">
      <c r="A33" s="50" t="s">
        <v>153</v>
      </c>
      <c r="B33" s="2"/>
      <c r="C33" s="7">
        <f t="shared" ref="C33:O33" si="9">(C13-B13)/B13</f>
        <v>-2.6326447954637734E-3</v>
      </c>
      <c r="D33" s="7">
        <f t="shared" si="9"/>
        <v>4.0609137055835253E-4</v>
      </c>
      <c r="E33" s="7">
        <f t="shared" si="9"/>
        <v>1.8063730464785828E-2</v>
      </c>
      <c r="F33" s="7">
        <f t="shared" si="9"/>
        <v>1.1363636363636341E-2</v>
      </c>
      <c r="G33" s="7">
        <f t="shared" si="9"/>
        <v>4.139562389119022E-3</v>
      </c>
      <c r="H33" s="7">
        <f t="shared" si="9"/>
        <v>4.5151158225362276E-3</v>
      </c>
      <c r="I33" s="7">
        <f t="shared" si="9"/>
        <v>1.7588430721126327E-3</v>
      </c>
      <c r="J33" s="7"/>
      <c r="K33" s="7">
        <f t="shared" si="2"/>
        <v>3.9016777214188799E-4</v>
      </c>
      <c r="L33" s="7">
        <f t="shared" si="9"/>
        <v>1.560062402496233E-3</v>
      </c>
      <c r="M33" s="7">
        <f t="shared" si="9"/>
        <v>3.8940809968834069E-4</v>
      </c>
      <c r="N33" s="7">
        <f t="shared" si="9"/>
        <v>1.3818606461658278E-2</v>
      </c>
      <c r="O33" s="7">
        <f t="shared" si="9"/>
        <v>1.2478402764446152E-2</v>
      </c>
      <c r="P33" s="2">
        <v>2588.5</v>
      </c>
      <c r="Q33" s="48">
        <f t="shared" si="3"/>
        <v>6.6250982187715524E-2</v>
      </c>
    </row>
    <row r="34" spans="1:17">
      <c r="A34" s="50" t="s">
        <v>154</v>
      </c>
      <c r="B34" s="2"/>
      <c r="C34" s="7">
        <f t="shared" ref="C34:O34" si="10">(C14-B14)/B14</f>
        <v>1.6675931072817284E-3</v>
      </c>
      <c r="D34" s="7">
        <f t="shared" si="10"/>
        <v>8.3240843507217368E-4</v>
      </c>
      <c r="E34" s="7">
        <f t="shared" si="10"/>
        <v>7.2082062655947406E-3</v>
      </c>
      <c r="F34" s="7">
        <f t="shared" si="10"/>
        <v>6.0556014313239434E-3</v>
      </c>
      <c r="G34" s="7">
        <f t="shared" si="10"/>
        <v>2.4623803009575303E-3</v>
      </c>
      <c r="H34" s="7">
        <f t="shared" si="10"/>
        <v>1.6375545851529006E-3</v>
      </c>
      <c r="I34" s="7">
        <f t="shared" si="10"/>
        <v>-2.4523160762942161E-3</v>
      </c>
      <c r="J34" s="7"/>
      <c r="K34" s="7">
        <f t="shared" si="2"/>
        <v>-5.4629882545752526E-3</v>
      </c>
      <c r="L34" s="7">
        <f t="shared" si="10"/>
        <v>-8.5141444658061588E-3</v>
      </c>
      <c r="M34" s="7">
        <f t="shared" si="10"/>
        <v>0</v>
      </c>
      <c r="N34" s="7">
        <f t="shared" si="10"/>
        <v>1.0526315789473715E-2</v>
      </c>
      <c r="O34" s="7">
        <f t="shared" si="10"/>
        <v>1.0964912280701754E-2</v>
      </c>
      <c r="P34" s="2">
        <v>1819.6999999999998</v>
      </c>
      <c r="Q34" s="48">
        <f t="shared" si="3"/>
        <v>2.4925523398882855E-2</v>
      </c>
    </row>
    <row r="35" spans="1:17">
      <c r="A35" s="50" t="s">
        <v>155</v>
      </c>
      <c r="B35" s="2"/>
      <c r="C35" s="7">
        <f t="shared" ref="C35:O35" si="11">(C15-B15)/B15</f>
        <v>1.1937059142702157E-2</v>
      </c>
      <c r="D35" s="7">
        <f t="shared" si="11"/>
        <v>1.5370866845397717E-2</v>
      </c>
      <c r="E35" s="7">
        <f t="shared" si="11"/>
        <v>1.9010737546206573E-2</v>
      </c>
      <c r="F35" s="7">
        <f t="shared" si="11"/>
        <v>1.9174296078770123E-2</v>
      </c>
      <c r="G35" s="7">
        <f t="shared" si="11"/>
        <v>1.3389830508474537E-2</v>
      </c>
      <c r="H35" s="7">
        <f t="shared" si="11"/>
        <v>1.4216424151196044E-2</v>
      </c>
      <c r="I35" s="7">
        <f t="shared" si="11"/>
        <v>1.1213720316622615E-2</v>
      </c>
      <c r="J35" s="7"/>
      <c r="K35" s="7">
        <f t="shared" si="2"/>
        <v>1.6307893020221786E-2</v>
      </c>
      <c r="L35" s="7">
        <f t="shared" si="11"/>
        <v>5.4557124518611411E-3</v>
      </c>
      <c r="M35" s="7">
        <f t="shared" si="11"/>
        <v>0</v>
      </c>
      <c r="N35" s="7">
        <f t="shared" si="11"/>
        <v>1.5320778806256204E-2</v>
      </c>
      <c r="O35" s="7">
        <f t="shared" si="11"/>
        <v>2.310594152782133E-2</v>
      </c>
      <c r="P35" s="2">
        <v>3163.5</v>
      </c>
      <c r="Q35" s="48">
        <f t="shared" si="3"/>
        <v>0.16450326039553023</v>
      </c>
    </row>
    <row r="36" spans="1:17">
      <c r="A36" s="50" t="s">
        <v>156</v>
      </c>
      <c r="B36" s="2"/>
      <c r="C36" s="7">
        <f t="shared" ref="C36:O36" si="12">(C16-B16)/B16</f>
        <v>4.8115477145147904E-3</v>
      </c>
      <c r="D36" s="7">
        <f t="shared" si="12"/>
        <v>2.9928172386275219E-3</v>
      </c>
      <c r="E36" s="7">
        <f t="shared" si="12"/>
        <v>2.7849612094688228E-3</v>
      </c>
      <c r="F36" s="7">
        <f t="shared" si="12"/>
        <v>3.570720095219112E-3</v>
      </c>
      <c r="G36" s="7">
        <f t="shared" si="12"/>
        <v>2.7673453251630311E-3</v>
      </c>
      <c r="H36" s="7">
        <f t="shared" si="12"/>
        <v>3.1539522964715611E-3</v>
      </c>
      <c r="I36" s="7">
        <f t="shared" si="12"/>
        <v>3.3405384161918758E-3</v>
      </c>
      <c r="J36" s="7"/>
      <c r="K36" s="7">
        <f t="shared" si="2"/>
        <v>2.7418723070896539E-3</v>
      </c>
      <c r="L36" s="7">
        <f t="shared" si="12"/>
        <v>5.4687499999999112E-3</v>
      </c>
      <c r="M36" s="7">
        <f t="shared" si="12"/>
        <v>0</v>
      </c>
      <c r="N36" s="7">
        <f t="shared" si="12"/>
        <v>3.4965034965036292E-3</v>
      </c>
      <c r="O36" s="7">
        <f t="shared" si="12"/>
        <v>2.7100271002709585E-3</v>
      </c>
      <c r="P36" s="2">
        <v>2576.1999999999998</v>
      </c>
      <c r="Q36" s="48">
        <f t="shared" si="3"/>
        <v>3.7839035199520865E-2</v>
      </c>
    </row>
    <row r="37" spans="1:17">
      <c r="A37" s="50" t="s">
        <v>157</v>
      </c>
      <c r="B37" s="2"/>
      <c r="C37" s="7">
        <f t="shared" ref="C37:O37" si="13">(C17-B17)/B17</f>
        <v>7.8495801387368901E-3</v>
      </c>
      <c r="D37" s="7">
        <f t="shared" si="13"/>
        <v>7.0639376924469793E-3</v>
      </c>
      <c r="E37" s="7">
        <f t="shared" si="13"/>
        <v>5.7553956834533191E-3</v>
      </c>
      <c r="F37" s="7">
        <f t="shared" si="13"/>
        <v>6.0801144492131209E-3</v>
      </c>
      <c r="G37" s="7">
        <f t="shared" si="13"/>
        <v>4.9768929968006899E-3</v>
      </c>
      <c r="H37" s="7">
        <f t="shared" si="13"/>
        <v>6.0134418111069381E-3</v>
      </c>
      <c r="I37" s="7">
        <f t="shared" si="13"/>
        <v>4.3952180028129402E-3</v>
      </c>
      <c r="J37" s="7"/>
      <c r="K37" s="7">
        <f t="shared" si="2"/>
        <v>4.7260633642570377E-3</v>
      </c>
      <c r="L37" s="7">
        <f t="shared" si="13"/>
        <v>9.5818815331010446E-3</v>
      </c>
      <c r="M37" s="7">
        <f t="shared" si="13"/>
        <v>0</v>
      </c>
      <c r="N37" s="7">
        <f t="shared" si="13"/>
        <v>2.5884383088869713E-3</v>
      </c>
      <c r="O37" s="7">
        <f t="shared" si="13"/>
        <v>3.4423407917383822E-3</v>
      </c>
      <c r="P37" s="2">
        <v>2897</v>
      </c>
      <c r="Q37" s="48">
        <f t="shared" si="3"/>
        <v>6.2473304772554306E-2</v>
      </c>
    </row>
    <row r="38" spans="1:17">
      <c r="A38" s="50" t="s">
        <v>158</v>
      </c>
      <c r="B38" s="2"/>
      <c r="C38" s="7">
        <f t="shared" ref="C38:O38" si="14">(C18-B18)/B18</f>
        <v>9.5858895705521474E-3</v>
      </c>
      <c r="D38" s="7">
        <f t="shared" si="14"/>
        <v>5.6969236612220754E-4</v>
      </c>
      <c r="E38" s="7">
        <f t="shared" si="14"/>
        <v>7.0222053520593011E-3</v>
      </c>
      <c r="F38" s="7">
        <f t="shared" si="14"/>
        <v>8.4809649453448915E-3</v>
      </c>
      <c r="G38" s="7">
        <f t="shared" si="14"/>
        <v>9.7178097551860309E-3</v>
      </c>
      <c r="H38" s="7">
        <f t="shared" si="14"/>
        <v>-7.5883768276883623E-3</v>
      </c>
      <c r="I38" s="7">
        <f t="shared" si="14"/>
        <v>-1.3614323013800946E-2</v>
      </c>
      <c r="J38" s="7"/>
      <c r="K38" s="7">
        <f t="shared" si="2"/>
        <v>4.3486481376442962E-3</v>
      </c>
      <c r="L38" s="7">
        <f t="shared" si="14"/>
        <v>2.4472891566264202E-3</v>
      </c>
      <c r="M38" s="7">
        <f t="shared" si="14"/>
        <v>1.8779342723008964E-4</v>
      </c>
      <c r="N38" s="7">
        <f t="shared" si="14"/>
        <v>5.4449868569282339E-3</v>
      </c>
      <c r="O38" s="7">
        <f t="shared" si="14"/>
        <v>6.5359477124183009E-3</v>
      </c>
      <c r="P38" s="2">
        <v>2670.8</v>
      </c>
      <c r="Q38" s="48">
        <f t="shared" si="3"/>
        <v>3.3138527438622611E-2</v>
      </c>
    </row>
  </sheetData>
  <conditionalFormatting sqref="Q26:Q3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DA53-7484-4FDA-A97C-FC4E604A18C8}">
  <dimension ref="A1:P40"/>
  <sheetViews>
    <sheetView topLeftCell="A2" workbookViewId="0">
      <selection activeCell="D9" sqref="D9"/>
    </sheetView>
  </sheetViews>
  <sheetFormatPr defaultRowHeight="14.4"/>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30</v>
      </c>
      <c r="B2">
        <v>2022</v>
      </c>
      <c r="C2" t="s">
        <v>37</v>
      </c>
      <c r="D2">
        <v>152.9</v>
      </c>
      <c r="E2">
        <v>214.7</v>
      </c>
      <c r="F2">
        <v>161.4</v>
      </c>
      <c r="G2">
        <v>164.6</v>
      </c>
      <c r="H2">
        <v>209.9</v>
      </c>
      <c r="I2">
        <v>168</v>
      </c>
      <c r="J2">
        <v>160.4</v>
      </c>
      <c r="K2">
        <v>165</v>
      </c>
      <c r="L2">
        <v>118.9</v>
      </c>
      <c r="M2">
        <v>186.6</v>
      </c>
      <c r="N2">
        <v>173.2</v>
      </c>
      <c r="O2">
        <v>180.4</v>
      </c>
      <c r="P2">
        <v>170.8</v>
      </c>
    </row>
    <row r="3" spans="1:16">
      <c r="A3" t="s">
        <v>32</v>
      </c>
      <c r="B3">
        <v>2022</v>
      </c>
      <c r="C3" t="s">
        <v>37</v>
      </c>
      <c r="D3">
        <v>156.69999999999999</v>
      </c>
      <c r="E3">
        <v>221.2</v>
      </c>
      <c r="F3">
        <v>164.1</v>
      </c>
      <c r="G3">
        <v>165.4</v>
      </c>
      <c r="H3">
        <v>189.5</v>
      </c>
      <c r="I3">
        <v>174.5</v>
      </c>
      <c r="J3">
        <v>203.2</v>
      </c>
      <c r="K3">
        <v>164.1</v>
      </c>
      <c r="L3">
        <v>121.2</v>
      </c>
      <c r="M3">
        <v>181.4</v>
      </c>
      <c r="N3">
        <v>158.5</v>
      </c>
      <c r="O3">
        <v>184.9</v>
      </c>
      <c r="P3">
        <v>177.5</v>
      </c>
    </row>
    <row r="4" spans="1:16">
      <c r="A4" t="s">
        <v>33</v>
      </c>
      <c r="B4">
        <v>2022</v>
      </c>
      <c r="C4" t="s">
        <v>37</v>
      </c>
      <c r="D4">
        <v>154.1</v>
      </c>
      <c r="E4">
        <v>217</v>
      </c>
      <c r="F4">
        <v>162.4</v>
      </c>
      <c r="G4">
        <v>164.9</v>
      </c>
      <c r="H4">
        <v>202.4</v>
      </c>
      <c r="I4">
        <v>171</v>
      </c>
      <c r="J4">
        <v>174.9</v>
      </c>
      <c r="K4">
        <v>164.7</v>
      </c>
      <c r="L4">
        <v>119.7</v>
      </c>
      <c r="M4">
        <v>184.9</v>
      </c>
      <c r="N4">
        <v>167.1</v>
      </c>
      <c r="O4">
        <v>182.5</v>
      </c>
      <c r="P4">
        <v>173.3</v>
      </c>
    </row>
    <row r="5" spans="1:16">
      <c r="A5" t="s">
        <v>30</v>
      </c>
      <c r="B5">
        <v>2022</v>
      </c>
      <c r="C5" t="s">
        <v>38</v>
      </c>
      <c r="D5">
        <v>153.80000000000001</v>
      </c>
      <c r="E5">
        <v>217.2</v>
      </c>
      <c r="F5">
        <v>169.6</v>
      </c>
      <c r="G5">
        <v>165.4</v>
      </c>
      <c r="H5">
        <v>208.1</v>
      </c>
      <c r="I5">
        <v>165.8</v>
      </c>
      <c r="J5">
        <v>167.3</v>
      </c>
      <c r="K5">
        <v>164.6</v>
      </c>
      <c r="L5">
        <v>119.1</v>
      </c>
      <c r="M5">
        <v>188.9</v>
      </c>
      <c r="N5">
        <v>174.2</v>
      </c>
      <c r="O5">
        <v>181.9</v>
      </c>
      <c r="P5">
        <v>172.4</v>
      </c>
    </row>
    <row r="6" spans="1:16">
      <c r="A6" t="s">
        <v>32</v>
      </c>
      <c r="B6">
        <v>2022</v>
      </c>
      <c r="C6" t="s">
        <v>38</v>
      </c>
      <c r="D6">
        <v>157.5</v>
      </c>
      <c r="E6">
        <v>223.4</v>
      </c>
      <c r="F6">
        <v>172.8</v>
      </c>
      <c r="G6">
        <v>166.4</v>
      </c>
      <c r="H6">
        <v>188.6</v>
      </c>
      <c r="I6">
        <v>174.1</v>
      </c>
      <c r="J6">
        <v>211.5</v>
      </c>
      <c r="K6">
        <v>163.6</v>
      </c>
      <c r="L6">
        <v>121.4</v>
      </c>
      <c r="M6">
        <v>183.5</v>
      </c>
      <c r="N6">
        <v>159.1</v>
      </c>
      <c r="O6">
        <v>186.3</v>
      </c>
      <c r="P6">
        <v>179.3</v>
      </c>
    </row>
    <row r="7" spans="1:16">
      <c r="A7" t="s">
        <v>33</v>
      </c>
      <c r="B7">
        <v>2022</v>
      </c>
      <c r="C7" t="s">
        <v>38</v>
      </c>
      <c r="D7">
        <v>155</v>
      </c>
      <c r="E7">
        <v>219.4</v>
      </c>
      <c r="F7">
        <v>170.8</v>
      </c>
      <c r="G7">
        <v>165.8</v>
      </c>
      <c r="H7">
        <v>200.9</v>
      </c>
      <c r="I7">
        <v>169.7</v>
      </c>
      <c r="J7">
        <v>182.3</v>
      </c>
      <c r="K7">
        <v>164.3</v>
      </c>
      <c r="L7">
        <v>119.9</v>
      </c>
      <c r="M7">
        <v>187.1</v>
      </c>
      <c r="N7">
        <v>167.9</v>
      </c>
      <c r="O7">
        <v>183.9</v>
      </c>
      <c r="P7">
        <v>174.9</v>
      </c>
    </row>
    <row r="8" spans="1:16">
      <c r="A8" t="s">
        <v>30</v>
      </c>
      <c r="B8">
        <v>2022</v>
      </c>
      <c r="C8" t="s">
        <v>39</v>
      </c>
      <c r="D8">
        <v>155.19999999999999</v>
      </c>
      <c r="E8">
        <v>210.8</v>
      </c>
      <c r="F8">
        <v>174.3</v>
      </c>
      <c r="G8">
        <v>166.3</v>
      </c>
      <c r="H8">
        <v>202.2</v>
      </c>
      <c r="I8">
        <v>169.6</v>
      </c>
      <c r="J8">
        <v>168.6</v>
      </c>
      <c r="K8">
        <v>164.4</v>
      </c>
      <c r="L8">
        <v>119.2</v>
      </c>
      <c r="M8">
        <v>191.8</v>
      </c>
      <c r="N8">
        <v>174.5</v>
      </c>
      <c r="O8">
        <v>183.1</v>
      </c>
      <c r="P8">
        <v>172.5</v>
      </c>
    </row>
    <row r="9" spans="1:16">
      <c r="A9" t="s">
        <v>32</v>
      </c>
      <c r="B9">
        <v>2022</v>
      </c>
      <c r="C9" t="s">
        <v>39</v>
      </c>
      <c r="D9">
        <v>159.30000000000001</v>
      </c>
      <c r="E9">
        <v>217.1</v>
      </c>
      <c r="F9">
        <v>176.6</v>
      </c>
      <c r="G9">
        <v>167.1</v>
      </c>
      <c r="H9">
        <v>184.8</v>
      </c>
      <c r="I9">
        <v>179.5</v>
      </c>
      <c r="J9">
        <v>208.5</v>
      </c>
      <c r="K9">
        <v>164</v>
      </c>
      <c r="L9">
        <v>121.5</v>
      </c>
      <c r="M9">
        <v>186.3</v>
      </c>
      <c r="N9">
        <v>159.80000000000001</v>
      </c>
      <c r="O9">
        <v>187.7</v>
      </c>
      <c r="P9">
        <v>179.4</v>
      </c>
    </row>
    <row r="10" spans="1:16">
      <c r="A10" t="s">
        <v>33</v>
      </c>
      <c r="B10">
        <v>2022</v>
      </c>
      <c r="C10" t="s">
        <v>39</v>
      </c>
      <c r="D10">
        <v>156.5</v>
      </c>
      <c r="E10">
        <v>213</v>
      </c>
      <c r="F10">
        <v>175.2</v>
      </c>
      <c r="G10">
        <v>166.6</v>
      </c>
      <c r="H10">
        <v>195.8</v>
      </c>
      <c r="I10">
        <v>174.2</v>
      </c>
      <c r="J10">
        <v>182.1</v>
      </c>
      <c r="K10">
        <v>164.3</v>
      </c>
      <c r="L10">
        <v>120</v>
      </c>
      <c r="M10">
        <v>190</v>
      </c>
      <c r="N10">
        <v>168.4</v>
      </c>
      <c r="O10">
        <v>185.2</v>
      </c>
      <c r="P10">
        <v>175</v>
      </c>
    </row>
    <row r="11" spans="1:16">
      <c r="A11" t="s">
        <v>30</v>
      </c>
      <c r="B11">
        <v>2022</v>
      </c>
      <c r="C11" t="s">
        <v>40</v>
      </c>
      <c r="D11">
        <v>159.5</v>
      </c>
      <c r="E11">
        <v>204.1</v>
      </c>
      <c r="F11">
        <v>168.3</v>
      </c>
      <c r="G11">
        <v>167.9</v>
      </c>
      <c r="H11">
        <v>198.1</v>
      </c>
      <c r="I11">
        <v>169.2</v>
      </c>
      <c r="J11">
        <v>173.1</v>
      </c>
      <c r="K11">
        <v>167.1</v>
      </c>
      <c r="L11">
        <v>120.2</v>
      </c>
      <c r="M11">
        <v>195.6</v>
      </c>
      <c r="N11">
        <v>174.8</v>
      </c>
      <c r="O11">
        <v>184</v>
      </c>
      <c r="P11">
        <v>173.9</v>
      </c>
    </row>
    <row r="12" spans="1:16">
      <c r="A12" t="s">
        <v>32</v>
      </c>
      <c r="B12">
        <v>2022</v>
      </c>
      <c r="C12" t="s">
        <v>40</v>
      </c>
      <c r="D12">
        <v>162.1</v>
      </c>
      <c r="E12">
        <v>210.9</v>
      </c>
      <c r="F12">
        <v>170.6</v>
      </c>
      <c r="G12">
        <v>168.4</v>
      </c>
      <c r="H12">
        <v>182.5</v>
      </c>
      <c r="I12">
        <v>177.1</v>
      </c>
      <c r="J12">
        <v>213.1</v>
      </c>
      <c r="K12">
        <v>167.3</v>
      </c>
      <c r="L12">
        <v>122.2</v>
      </c>
      <c r="M12">
        <v>189.7</v>
      </c>
      <c r="N12">
        <v>160.5</v>
      </c>
      <c r="O12">
        <v>188.9</v>
      </c>
      <c r="P12">
        <v>180.4</v>
      </c>
    </row>
    <row r="13" spans="1:16">
      <c r="A13" t="s">
        <v>33</v>
      </c>
      <c r="B13">
        <v>2022</v>
      </c>
      <c r="C13" t="s">
        <v>40</v>
      </c>
      <c r="D13">
        <v>160.30000000000001</v>
      </c>
      <c r="E13">
        <v>206.5</v>
      </c>
      <c r="F13">
        <v>169.2</v>
      </c>
      <c r="G13">
        <v>168.1</v>
      </c>
      <c r="H13">
        <v>192.4</v>
      </c>
      <c r="I13">
        <v>172.9</v>
      </c>
      <c r="J13">
        <v>186.7</v>
      </c>
      <c r="K13">
        <v>167.2</v>
      </c>
      <c r="L13">
        <v>120.9</v>
      </c>
      <c r="M13">
        <v>193.6</v>
      </c>
      <c r="N13">
        <v>168.8</v>
      </c>
      <c r="O13">
        <v>186.3</v>
      </c>
      <c r="P13">
        <v>176.3</v>
      </c>
    </row>
    <row r="14" spans="1:16">
      <c r="A14" t="s">
        <v>30</v>
      </c>
      <c r="B14">
        <v>2022</v>
      </c>
      <c r="C14" t="s">
        <v>41</v>
      </c>
      <c r="D14">
        <v>162.9</v>
      </c>
      <c r="E14">
        <v>206.7</v>
      </c>
      <c r="F14">
        <v>169</v>
      </c>
      <c r="G14">
        <v>169.5</v>
      </c>
      <c r="H14">
        <v>194.1</v>
      </c>
      <c r="I14">
        <v>164.1</v>
      </c>
      <c r="J14">
        <v>176.9</v>
      </c>
      <c r="K14">
        <v>169</v>
      </c>
      <c r="L14">
        <v>120.8</v>
      </c>
      <c r="M14">
        <v>199.1</v>
      </c>
      <c r="N14">
        <v>175.4</v>
      </c>
      <c r="O14">
        <v>184.8</v>
      </c>
      <c r="P14">
        <v>175.5</v>
      </c>
    </row>
    <row r="15" spans="1:16">
      <c r="A15" t="s">
        <v>32</v>
      </c>
      <c r="B15">
        <v>2022</v>
      </c>
      <c r="C15" t="s">
        <v>41</v>
      </c>
      <c r="D15">
        <v>164.9</v>
      </c>
      <c r="E15">
        <v>213.7</v>
      </c>
      <c r="F15">
        <v>170.9</v>
      </c>
      <c r="G15">
        <v>170.1</v>
      </c>
      <c r="H15">
        <v>179.3</v>
      </c>
      <c r="I15">
        <v>167.5</v>
      </c>
      <c r="J15">
        <v>220.8</v>
      </c>
      <c r="K15">
        <v>169.2</v>
      </c>
      <c r="L15">
        <v>123.1</v>
      </c>
      <c r="M15">
        <v>193.6</v>
      </c>
      <c r="N15">
        <v>161.1</v>
      </c>
      <c r="O15">
        <v>190.4</v>
      </c>
      <c r="P15">
        <v>181.8</v>
      </c>
    </row>
    <row r="16" spans="1:16">
      <c r="A16" t="s">
        <v>33</v>
      </c>
      <c r="B16">
        <v>2022</v>
      </c>
      <c r="C16" t="s">
        <v>41</v>
      </c>
      <c r="D16">
        <v>163.5</v>
      </c>
      <c r="E16">
        <v>209.2</v>
      </c>
      <c r="F16">
        <v>169.7</v>
      </c>
      <c r="G16">
        <v>169.7</v>
      </c>
      <c r="H16">
        <v>188.7</v>
      </c>
      <c r="I16">
        <v>165.7</v>
      </c>
      <c r="J16">
        <v>191.8</v>
      </c>
      <c r="K16">
        <v>169.1</v>
      </c>
      <c r="L16">
        <v>121.6</v>
      </c>
      <c r="M16">
        <v>197.3</v>
      </c>
      <c r="N16">
        <v>169.4</v>
      </c>
      <c r="O16">
        <v>187.4</v>
      </c>
      <c r="P16">
        <v>177.8</v>
      </c>
    </row>
    <row r="17" spans="1:16">
      <c r="A17" t="s">
        <v>30</v>
      </c>
      <c r="B17">
        <v>2022</v>
      </c>
      <c r="C17" t="s">
        <v>42</v>
      </c>
      <c r="D17">
        <v>164.7</v>
      </c>
      <c r="E17">
        <v>208.8</v>
      </c>
      <c r="F17">
        <v>170.3</v>
      </c>
      <c r="G17">
        <v>170.9</v>
      </c>
      <c r="H17">
        <v>191.6</v>
      </c>
      <c r="I17">
        <v>162.19999999999999</v>
      </c>
      <c r="J17">
        <v>184.8</v>
      </c>
      <c r="K17">
        <v>169.7</v>
      </c>
      <c r="L17">
        <v>121.1</v>
      </c>
      <c r="M17">
        <v>201.6</v>
      </c>
      <c r="N17">
        <v>175.8</v>
      </c>
      <c r="O17">
        <v>185.6</v>
      </c>
      <c r="P17">
        <v>177.4</v>
      </c>
    </row>
    <row r="18" spans="1:16">
      <c r="A18" t="s">
        <v>32</v>
      </c>
      <c r="B18">
        <v>2022</v>
      </c>
      <c r="C18" t="s">
        <v>42</v>
      </c>
      <c r="D18">
        <v>166.4</v>
      </c>
      <c r="E18">
        <v>214.9</v>
      </c>
      <c r="F18">
        <v>171.9</v>
      </c>
      <c r="G18">
        <v>171</v>
      </c>
      <c r="H18">
        <v>177.7</v>
      </c>
      <c r="I18">
        <v>165.7</v>
      </c>
      <c r="J18">
        <v>228.6</v>
      </c>
      <c r="K18">
        <v>169.9</v>
      </c>
      <c r="L18">
        <v>123.4</v>
      </c>
      <c r="M18">
        <v>196.4</v>
      </c>
      <c r="N18">
        <v>161.6</v>
      </c>
      <c r="O18">
        <v>191.5</v>
      </c>
      <c r="P18">
        <v>183.3</v>
      </c>
    </row>
    <row r="19" spans="1:16">
      <c r="A19" t="s">
        <v>33</v>
      </c>
      <c r="B19">
        <v>2022</v>
      </c>
      <c r="C19" t="s">
        <v>42</v>
      </c>
      <c r="D19">
        <v>165.2</v>
      </c>
      <c r="E19">
        <v>210.9</v>
      </c>
      <c r="F19">
        <v>170.9</v>
      </c>
      <c r="G19">
        <v>170.9</v>
      </c>
      <c r="H19">
        <v>186.5</v>
      </c>
      <c r="I19">
        <v>163.80000000000001</v>
      </c>
      <c r="J19">
        <v>199.7</v>
      </c>
      <c r="K19">
        <v>169.8</v>
      </c>
      <c r="L19">
        <v>121.9</v>
      </c>
      <c r="M19">
        <v>199.9</v>
      </c>
      <c r="N19">
        <v>169.9</v>
      </c>
      <c r="O19">
        <v>188.3</v>
      </c>
      <c r="P19">
        <v>179.6</v>
      </c>
    </row>
    <row r="20" spans="1:16">
      <c r="A20" t="s">
        <v>30</v>
      </c>
      <c r="B20">
        <v>2022</v>
      </c>
      <c r="C20" t="s">
        <v>44</v>
      </c>
      <c r="D20">
        <v>166.9</v>
      </c>
      <c r="E20">
        <v>207.2</v>
      </c>
      <c r="F20">
        <v>180.2</v>
      </c>
      <c r="G20">
        <v>172.3</v>
      </c>
      <c r="H20">
        <v>194</v>
      </c>
      <c r="I20">
        <v>159.1</v>
      </c>
      <c r="J20">
        <v>171.6</v>
      </c>
      <c r="K20">
        <v>170.2</v>
      </c>
      <c r="L20">
        <v>121.5</v>
      </c>
      <c r="M20">
        <v>204.8</v>
      </c>
      <c r="N20">
        <v>176.4</v>
      </c>
      <c r="O20">
        <v>186.9</v>
      </c>
      <c r="P20">
        <v>176.6</v>
      </c>
    </row>
    <row r="21" spans="1:16">
      <c r="A21" t="s">
        <v>32</v>
      </c>
      <c r="B21">
        <v>2022</v>
      </c>
      <c r="C21" t="s">
        <v>44</v>
      </c>
      <c r="D21">
        <v>168.4</v>
      </c>
      <c r="E21">
        <v>213.4</v>
      </c>
      <c r="F21">
        <v>183.2</v>
      </c>
      <c r="G21">
        <v>172.3</v>
      </c>
      <c r="H21">
        <v>180</v>
      </c>
      <c r="I21">
        <v>162.6</v>
      </c>
      <c r="J21">
        <v>205.5</v>
      </c>
      <c r="K21">
        <v>171</v>
      </c>
      <c r="L21">
        <v>123.4</v>
      </c>
      <c r="M21">
        <v>198.8</v>
      </c>
      <c r="N21">
        <v>162.1</v>
      </c>
      <c r="O21">
        <v>192.4</v>
      </c>
      <c r="P21">
        <v>181.3</v>
      </c>
    </row>
    <row r="22" spans="1:16">
      <c r="A22" t="s">
        <v>33</v>
      </c>
      <c r="B22">
        <v>2022</v>
      </c>
      <c r="C22" t="s">
        <v>44</v>
      </c>
      <c r="D22">
        <v>167.4</v>
      </c>
      <c r="E22">
        <v>209.4</v>
      </c>
      <c r="F22">
        <v>181.4</v>
      </c>
      <c r="G22">
        <v>172.3</v>
      </c>
      <c r="H22">
        <v>188.9</v>
      </c>
      <c r="I22">
        <v>160.69999999999999</v>
      </c>
      <c r="J22">
        <v>183.1</v>
      </c>
      <c r="K22">
        <v>170.5</v>
      </c>
      <c r="L22">
        <v>122.1</v>
      </c>
      <c r="M22">
        <v>202.8</v>
      </c>
      <c r="N22">
        <v>170.4</v>
      </c>
      <c r="O22">
        <v>189.5</v>
      </c>
      <c r="P22">
        <v>178.3</v>
      </c>
    </row>
    <row r="23" spans="1:16">
      <c r="A23" t="s">
        <v>30</v>
      </c>
      <c r="B23">
        <v>2022</v>
      </c>
      <c r="C23" t="s">
        <v>45</v>
      </c>
      <c r="D23">
        <v>168.8</v>
      </c>
      <c r="E23">
        <v>206.9</v>
      </c>
      <c r="F23">
        <v>189.1</v>
      </c>
      <c r="G23">
        <v>173.4</v>
      </c>
      <c r="H23">
        <v>193.9</v>
      </c>
      <c r="I23">
        <v>156.69999999999999</v>
      </c>
      <c r="J23">
        <v>150.19999999999999</v>
      </c>
      <c r="K23">
        <v>170.5</v>
      </c>
      <c r="L23">
        <v>121.2</v>
      </c>
      <c r="M23">
        <v>207.5</v>
      </c>
      <c r="N23">
        <v>176.8</v>
      </c>
      <c r="O23">
        <v>187.7</v>
      </c>
      <c r="P23">
        <v>174.4</v>
      </c>
    </row>
    <row r="24" spans="1:16">
      <c r="A24" t="s">
        <v>32</v>
      </c>
      <c r="B24">
        <v>2022</v>
      </c>
      <c r="C24" t="s">
        <v>45</v>
      </c>
      <c r="D24">
        <v>170.2</v>
      </c>
      <c r="E24">
        <v>212.9</v>
      </c>
      <c r="F24">
        <v>191.9</v>
      </c>
      <c r="G24">
        <v>173.9</v>
      </c>
      <c r="H24">
        <v>179.1</v>
      </c>
      <c r="I24">
        <v>159.5</v>
      </c>
      <c r="J24">
        <v>178.7</v>
      </c>
      <c r="K24">
        <v>171.3</v>
      </c>
      <c r="L24">
        <v>123.1</v>
      </c>
      <c r="M24">
        <v>200.5</v>
      </c>
      <c r="N24">
        <v>162.80000000000001</v>
      </c>
      <c r="O24">
        <v>193.3</v>
      </c>
      <c r="P24">
        <v>178.6</v>
      </c>
    </row>
    <row r="25" spans="1:16">
      <c r="A25" t="s">
        <v>33</v>
      </c>
      <c r="B25">
        <v>2022</v>
      </c>
      <c r="C25" t="s">
        <v>45</v>
      </c>
      <c r="D25">
        <v>169.2</v>
      </c>
      <c r="E25">
        <v>209</v>
      </c>
      <c r="F25">
        <v>190.2</v>
      </c>
      <c r="G25">
        <v>173.6</v>
      </c>
      <c r="H25">
        <v>188.5</v>
      </c>
      <c r="I25">
        <v>158</v>
      </c>
      <c r="J25">
        <v>159.9</v>
      </c>
      <c r="K25">
        <v>170.8</v>
      </c>
      <c r="L25">
        <v>121.8</v>
      </c>
      <c r="M25">
        <v>205.2</v>
      </c>
      <c r="N25">
        <v>171</v>
      </c>
      <c r="O25">
        <v>190.3</v>
      </c>
      <c r="P25">
        <v>175.9</v>
      </c>
    </row>
    <row r="26" spans="1:16">
      <c r="A26" t="s">
        <v>30</v>
      </c>
      <c r="B26">
        <v>2023</v>
      </c>
      <c r="C26" t="s">
        <v>31</v>
      </c>
      <c r="D26">
        <v>174</v>
      </c>
      <c r="E26">
        <v>208.3</v>
      </c>
      <c r="F26">
        <v>192.9</v>
      </c>
      <c r="G26">
        <v>174.3</v>
      </c>
      <c r="H26">
        <v>192.6</v>
      </c>
      <c r="I26">
        <v>156.30000000000001</v>
      </c>
      <c r="J26">
        <v>142.9</v>
      </c>
      <c r="K26">
        <v>170.7</v>
      </c>
      <c r="L26">
        <v>120.3</v>
      </c>
      <c r="M26">
        <v>210.5</v>
      </c>
      <c r="N26">
        <v>176.9</v>
      </c>
      <c r="O26">
        <v>188.5</v>
      </c>
      <c r="P26">
        <v>175</v>
      </c>
    </row>
    <row r="27" spans="1:16">
      <c r="A27" t="s">
        <v>32</v>
      </c>
      <c r="B27">
        <v>2023</v>
      </c>
      <c r="C27" t="s">
        <v>31</v>
      </c>
      <c r="D27">
        <v>173.3</v>
      </c>
      <c r="E27">
        <v>215.2</v>
      </c>
      <c r="F27">
        <v>197</v>
      </c>
      <c r="G27">
        <v>175.2</v>
      </c>
      <c r="H27">
        <v>178</v>
      </c>
      <c r="I27">
        <v>160.5</v>
      </c>
      <c r="J27">
        <v>175.3</v>
      </c>
      <c r="K27">
        <v>171.2</v>
      </c>
      <c r="L27">
        <v>122.7</v>
      </c>
      <c r="M27">
        <v>204.3</v>
      </c>
      <c r="N27">
        <v>163.69999999999999</v>
      </c>
      <c r="O27">
        <v>194.3</v>
      </c>
      <c r="P27">
        <v>179.5</v>
      </c>
    </row>
    <row r="28" spans="1:16">
      <c r="A28" t="s">
        <v>33</v>
      </c>
      <c r="B28">
        <v>2023</v>
      </c>
      <c r="C28" t="s">
        <v>31</v>
      </c>
      <c r="D28">
        <v>173.8</v>
      </c>
      <c r="E28">
        <v>210.7</v>
      </c>
      <c r="F28">
        <v>194.5</v>
      </c>
      <c r="G28">
        <v>174.6</v>
      </c>
      <c r="H28">
        <v>187.2</v>
      </c>
      <c r="I28">
        <v>158.30000000000001</v>
      </c>
      <c r="J28">
        <v>153.9</v>
      </c>
      <c r="K28">
        <v>170.9</v>
      </c>
      <c r="L28">
        <v>121.1</v>
      </c>
      <c r="M28">
        <v>208.4</v>
      </c>
      <c r="N28">
        <v>171.4</v>
      </c>
      <c r="O28">
        <v>191.2</v>
      </c>
      <c r="P28">
        <v>176.7</v>
      </c>
    </row>
    <row r="29" spans="1:16">
      <c r="A29" t="s">
        <v>30</v>
      </c>
      <c r="B29">
        <v>2023</v>
      </c>
      <c r="C29" t="s">
        <v>34</v>
      </c>
      <c r="D29">
        <v>174.2</v>
      </c>
      <c r="E29">
        <v>205.2</v>
      </c>
      <c r="F29">
        <v>173.9</v>
      </c>
      <c r="G29">
        <v>177</v>
      </c>
      <c r="H29">
        <v>183.4</v>
      </c>
      <c r="I29">
        <v>167.2</v>
      </c>
      <c r="J29">
        <v>140.9</v>
      </c>
      <c r="K29">
        <v>170.4</v>
      </c>
      <c r="L29">
        <v>119.1</v>
      </c>
      <c r="M29">
        <v>212.1</v>
      </c>
      <c r="N29">
        <v>177.6</v>
      </c>
      <c r="O29">
        <v>189.9</v>
      </c>
      <c r="P29">
        <v>174.8</v>
      </c>
    </row>
    <row r="30" spans="1:16">
      <c r="A30" t="s">
        <v>32</v>
      </c>
      <c r="B30">
        <v>2023</v>
      </c>
      <c r="C30" t="s">
        <v>34</v>
      </c>
      <c r="D30">
        <v>174.7</v>
      </c>
      <c r="E30">
        <v>212.2</v>
      </c>
      <c r="F30">
        <v>177.2</v>
      </c>
      <c r="G30">
        <v>177.9</v>
      </c>
      <c r="H30">
        <v>172.2</v>
      </c>
      <c r="I30">
        <v>172.1</v>
      </c>
      <c r="J30">
        <v>175.8</v>
      </c>
      <c r="K30">
        <v>172.2</v>
      </c>
      <c r="L30">
        <v>121.9</v>
      </c>
      <c r="M30">
        <v>204.8</v>
      </c>
      <c r="N30">
        <v>164.9</v>
      </c>
      <c r="O30">
        <v>196.6</v>
      </c>
      <c r="P30">
        <v>180.7</v>
      </c>
    </row>
    <row r="31" spans="1:16">
      <c r="A31" t="s">
        <v>33</v>
      </c>
      <c r="B31">
        <v>2023</v>
      </c>
      <c r="C31" t="s">
        <v>34</v>
      </c>
      <c r="D31">
        <v>174.4</v>
      </c>
      <c r="E31">
        <v>207.7</v>
      </c>
      <c r="F31">
        <v>175.2</v>
      </c>
      <c r="G31">
        <v>177.3</v>
      </c>
      <c r="H31">
        <v>179.3</v>
      </c>
      <c r="I31">
        <v>169.5</v>
      </c>
      <c r="J31">
        <v>152.69999999999999</v>
      </c>
      <c r="K31">
        <v>171</v>
      </c>
      <c r="L31">
        <v>120</v>
      </c>
      <c r="M31">
        <v>209.7</v>
      </c>
      <c r="N31">
        <v>172.3</v>
      </c>
      <c r="O31">
        <v>193</v>
      </c>
      <c r="P31">
        <v>177</v>
      </c>
    </row>
    <row r="32" spans="1:16">
      <c r="A32" t="s">
        <v>30</v>
      </c>
      <c r="B32">
        <v>2023</v>
      </c>
      <c r="C32" t="s">
        <v>35</v>
      </c>
      <c r="D32">
        <v>174.3</v>
      </c>
      <c r="E32">
        <v>205.2</v>
      </c>
      <c r="F32">
        <v>173.9</v>
      </c>
      <c r="G32">
        <v>177</v>
      </c>
      <c r="H32">
        <v>183.3</v>
      </c>
      <c r="I32">
        <v>167.2</v>
      </c>
      <c r="J32">
        <v>140.9</v>
      </c>
      <c r="K32">
        <v>170.5</v>
      </c>
      <c r="L32">
        <v>119.1</v>
      </c>
      <c r="M32">
        <v>212.1</v>
      </c>
      <c r="N32">
        <v>177.6</v>
      </c>
      <c r="O32">
        <v>189.9</v>
      </c>
      <c r="P32">
        <v>174.8</v>
      </c>
    </row>
    <row r="33" spans="1:16">
      <c r="A33" t="s">
        <v>32</v>
      </c>
      <c r="B33">
        <v>2023</v>
      </c>
      <c r="C33" t="s">
        <v>35</v>
      </c>
      <c r="D33">
        <v>174.7</v>
      </c>
      <c r="E33">
        <v>212.2</v>
      </c>
      <c r="F33">
        <v>177.2</v>
      </c>
      <c r="G33">
        <v>177.9</v>
      </c>
      <c r="H33">
        <v>172.2</v>
      </c>
      <c r="I33">
        <v>172.1</v>
      </c>
      <c r="J33">
        <v>175.9</v>
      </c>
      <c r="K33">
        <v>172.2</v>
      </c>
      <c r="L33">
        <v>121.9</v>
      </c>
      <c r="M33">
        <v>204.8</v>
      </c>
      <c r="N33">
        <v>164.9</v>
      </c>
      <c r="O33">
        <v>196.6</v>
      </c>
      <c r="P33">
        <v>180.8</v>
      </c>
    </row>
    <row r="34" spans="1:16">
      <c r="A34" t="s">
        <v>33</v>
      </c>
      <c r="B34">
        <v>2023</v>
      </c>
      <c r="C34" t="s">
        <v>35</v>
      </c>
      <c r="D34">
        <v>174.4</v>
      </c>
      <c r="E34">
        <v>207.7</v>
      </c>
      <c r="F34">
        <v>175.2</v>
      </c>
      <c r="G34">
        <v>177.3</v>
      </c>
      <c r="H34">
        <v>179.2</v>
      </c>
      <c r="I34">
        <v>169.5</v>
      </c>
      <c r="J34">
        <v>152.80000000000001</v>
      </c>
      <c r="K34">
        <v>171.1</v>
      </c>
      <c r="L34">
        <v>120</v>
      </c>
      <c r="M34">
        <v>209.7</v>
      </c>
      <c r="N34">
        <v>172.3</v>
      </c>
      <c r="O34">
        <v>193</v>
      </c>
      <c r="P34">
        <v>177</v>
      </c>
    </row>
    <row r="35" spans="1:16">
      <c r="A35" t="s">
        <v>30</v>
      </c>
      <c r="B35">
        <v>2023</v>
      </c>
      <c r="C35" t="s">
        <v>36</v>
      </c>
      <c r="D35">
        <v>173.3</v>
      </c>
      <c r="E35">
        <v>206.9</v>
      </c>
      <c r="F35">
        <v>167.9</v>
      </c>
      <c r="G35">
        <v>178.2</v>
      </c>
      <c r="H35">
        <v>178.5</v>
      </c>
      <c r="I35">
        <v>173.7</v>
      </c>
      <c r="J35">
        <v>142.80000000000001</v>
      </c>
      <c r="K35">
        <v>172.8</v>
      </c>
      <c r="L35">
        <v>120.4</v>
      </c>
      <c r="M35">
        <v>215.5</v>
      </c>
      <c r="N35">
        <v>178.2</v>
      </c>
      <c r="O35">
        <v>190.5</v>
      </c>
      <c r="P35">
        <v>175.5</v>
      </c>
    </row>
    <row r="36" spans="1:16">
      <c r="A36" t="s">
        <v>32</v>
      </c>
      <c r="B36">
        <v>2023</v>
      </c>
      <c r="C36" t="s">
        <v>36</v>
      </c>
      <c r="D36">
        <v>174.8</v>
      </c>
      <c r="E36">
        <v>213.7</v>
      </c>
      <c r="F36">
        <v>172.4</v>
      </c>
      <c r="G36">
        <v>178.8</v>
      </c>
      <c r="H36">
        <v>168.7</v>
      </c>
      <c r="I36">
        <v>179.2</v>
      </c>
      <c r="J36">
        <v>179.9</v>
      </c>
      <c r="K36">
        <v>174.7</v>
      </c>
      <c r="L36">
        <v>123.1</v>
      </c>
      <c r="M36">
        <v>207.8</v>
      </c>
      <c r="N36">
        <v>165.5</v>
      </c>
      <c r="O36">
        <v>197</v>
      </c>
      <c r="P36">
        <v>182.1</v>
      </c>
    </row>
    <row r="37" spans="1:16">
      <c r="A37" t="s">
        <v>33</v>
      </c>
      <c r="B37">
        <v>2023</v>
      </c>
      <c r="C37" t="s">
        <v>36</v>
      </c>
      <c r="D37">
        <v>173.8</v>
      </c>
      <c r="E37">
        <v>209.3</v>
      </c>
      <c r="F37">
        <v>169.6</v>
      </c>
      <c r="G37">
        <v>178.4</v>
      </c>
      <c r="H37">
        <v>174.9</v>
      </c>
      <c r="I37">
        <v>176.3</v>
      </c>
      <c r="J37">
        <v>155.4</v>
      </c>
      <c r="K37">
        <v>173.4</v>
      </c>
      <c r="L37">
        <v>121.3</v>
      </c>
      <c r="M37">
        <v>212.9</v>
      </c>
      <c r="N37">
        <v>172.9</v>
      </c>
      <c r="O37">
        <v>193.5</v>
      </c>
      <c r="P37">
        <v>177.9</v>
      </c>
    </row>
    <row r="38" spans="1:16">
      <c r="A38" t="s">
        <v>30</v>
      </c>
      <c r="B38">
        <v>2023</v>
      </c>
      <c r="C38" t="s">
        <v>37</v>
      </c>
      <c r="D38">
        <v>173.2</v>
      </c>
      <c r="E38">
        <v>211.5</v>
      </c>
      <c r="F38">
        <v>171</v>
      </c>
      <c r="G38">
        <v>179.6</v>
      </c>
      <c r="H38">
        <v>173.3</v>
      </c>
      <c r="I38">
        <v>169</v>
      </c>
      <c r="J38">
        <v>148.69999999999999</v>
      </c>
      <c r="K38">
        <v>174.9</v>
      </c>
      <c r="L38">
        <v>121.9</v>
      </c>
      <c r="M38">
        <v>221</v>
      </c>
      <c r="N38">
        <v>178.7</v>
      </c>
      <c r="O38">
        <v>191.1</v>
      </c>
      <c r="P38">
        <v>176.8</v>
      </c>
    </row>
    <row r="39" spans="1:16">
      <c r="A39" t="s">
        <v>32</v>
      </c>
      <c r="B39">
        <v>2023</v>
      </c>
      <c r="C39" t="s">
        <v>37</v>
      </c>
      <c r="D39">
        <v>174.7</v>
      </c>
      <c r="E39">
        <v>219.4</v>
      </c>
      <c r="F39">
        <v>176.7</v>
      </c>
      <c r="G39">
        <v>179.4</v>
      </c>
      <c r="H39">
        <v>164.4</v>
      </c>
      <c r="I39">
        <v>175.8</v>
      </c>
      <c r="J39">
        <v>185</v>
      </c>
      <c r="K39">
        <v>176.9</v>
      </c>
      <c r="L39">
        <v>124.2</v>
      </c>
      <c r="M39">
        <v>211.9</v>
      </c>
      <c r="N39">
        <v>165.9</v>
      </c>
      <c r="O39">
        <v>197.7</v>
      </c>
      <c r="P39">
        <v>183.1</v>
      </c>
    </row>
    <row r="40" spans="1:16">
      <c r="A40" t="s">
        <v>33</v>
      </c>
      <c r="B40">
        <v>2023</v>
      </c>
      <c r="C40" t="s">
        <v>37</v>
      </c>
      <c r="D40">
        <v>173.7</v>
      </c>
      <c r="E40">
        <v>214.3</v>
      </c>
      <c r="F40">
        <v>173.2</v>
      </c>
      <c r="G40">
        <v>179.5</v>
      </c>
      <c r="H40">
        <v>170</v>
      </c>
      <c r="I40">
        <v>172.2</v>
      </c>
      <c r="J40">
        <v>161</v>
      </c>
      <c r="K40">
        <v>175.6</v>
      </c>
      <c r="L40">
        <v>122.7</v>
      </c>
      <c r="M40">
        <v>218</v>
      </c>
      <c r="N40">
        <v>173.4</v>
      </c>
      <c r="O40">
        <v>194.2</v>
      </c>
      <c r="P40">
        <v>179.1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03B3-D26D-4A74-8A3B-DC7250E0948D}">
  <dimension ref="B3:M13"/>
  <sheetViews>
    <sheetView workbookViewId="0">
      <selection activeCell="E21" sqref="E21"/>
    </sheetView>
  </sheetViews>
  <sheetFormatPr defaultColWidth="9" defaultRowHeight="14.4"/>
  <cols>
    <col min="1" max="2" width="13.33203125" bestFit="1" customWidth="1"/>
    <col min="6" max="6" width="12.109375" bestFit="1" customWidth="1"/>
    <col min="10" max="10" width="15.21875" customWidth="1"/>
    <col min="11" max="11" width="23.5546875" bestFit="1" customWidth="1"/>
    <col min="12" max="12" width="36.109375" bestFit="1" customWidth="1"/>
  </cols>
  <sheetData>
    <row r="3" spans="2:13" ht="15">
      <c r="B3" s="9" t="s">
        <v>0</v>
      </c>
      <c r="C3" s="9" t="s">
        <v>1</v>
      </c>
      <c r="D3" s="9" t="s">
        <v>2</v>
      </c>
      <c r="E3" s="11" t="s">
        <v>72</v>
      </c>
      <c r="F3" s="11" t="s">
        <v>73</v>
      </c>
      <c r="G3" s="11" t="s">
        <v>74</v>
      </c>
      <c r="I3" s="10" t="s">
        <v>75</v>
      </c>
      <c r="J3" s="10" t="s">
        <v>1</v>
      </c>
      <c r="K3" s="10" t="s">
        <v>76</v>
      </c>
      <c r="L3" s="10" t="s">
        <v>77</v>
      </c>
      <c r="M3" s="10" t="s">
        <v>78</v>
      </c>
    </row>
    <row r="4" spans="2:13" ht="15">
      <c r="B4" s="9" t="s">
        <v>33</v>
      </c>
      <c r="C4" s="2">
        <v>2018</v>
      </c>
      <c r="D4" s="2" t="s">
        <v>31</v>
      </c>
      <c r="E4">
        <v>1779.9</v>
      </c>
      <c r="F4">
        <v>260.60000000000002</v>
      </c>
      <c r="G4">
        <v>414.3</v>
      </c>
      <c r="I4" s="53" t="s">
        <v>79</v>
      </c>
      <c r="J4" s="2">
        <v>2018</v>
      </c>
      <c r="K4" s="8">
        <f>(E5-E4)/E4</f>
        <v>-9.6072813079387236E-3</v>
      </c>
      <c r="L4" s="8">
        <f t="shared" ref="L4:M4" si="0">(F5-F4)/F4</f>
        <v>6.3315425940138143E-2</v>
      </c>
      <c r="M4" s="8">
        <f t="shared" si="0"/>
        <v>6.1549601737871107E-2</v>
      </c>
    </row>
    <row r="5" spans="2:13" ht="15">
      <c r="B5" s="9" t="s">
        <v>33</v>
      </c>
      <c r="C5" s="2">
        <v>2018</v>
      </c>
      <c r="D5" s="2" t="s">
        <v>45</v>
      </c>
      <c r="E5">
        <v>1762.8</v>
      </c>
      <c r="F5">
        <v>277.10000000000002</v>
      </c>
      <c r="G5">
        <v>439.8</v>
      </c>
      <c r="I5" s="53"/>
      <c r="J5" s="2">
        <v>2019</v>
      </c>
      <c r="K5" s="8">
        <f>(E7-E6)/E6</f>
        <v>0.10990076422949686</v>
      </c>
      <c r="L5" s="8">
        <f t="shared" ref="L5:M5" si="1">(F7-F6)/F6</f>
        <v>4.641957538682992E-2</v>
      </c>
      <c r="M5" s="8">
        <f t="shared" si="1"/>
        <v>2.8992072480181225E-2</v>
      </c>
    </row>
    <row r="6" spans="2:13" ht="15">
      <c r="B6" s="9" t="s">
        <v>33</v>
      </c>
      <c r="C6" s="2">
        <v>2019</v>
      </c>
      <c r="D6" s="2" t="s">
        <v>31</v>
      </c>
      <c r="E6">
        <v>1753.4</v>
      </c>
      <c r="F6">
        <v>277.89999999999998</v>
      </c>
      <c r="G6">
        <v>441.5</v>
      </c>
      <c r="I6" s="2" t="s">
        <v>80</v>
      </c>
      <c r="J6" s="2">
        <v>2020</v>
      </c>
      <c r="K6" s="8">
        <f>(E9-E8)/E8</f>
        <v>8.6940836940836846E-2</v>
      </c>
      <c r="L6" s="8">
        <f t="shared" ref="L6:M6" si="2">(F9-F8)/F8</f>
        <v>7.4616695059625135E-2</v>
      </c>
      <c r="M6" s="8">
        <f t="shared" si="2"/>
        <v>2.4769837790442815E-2</v>
      </c>
    </row>
    <row r="7" spans="2:13" ht="15">
      <c r="B7" s="9" t="s">
        <v>33</v>
      </c>
      <c r="C7" s="2">
        <v>2019</v>
      </c>
      <c r="D7" s="2" t="s">
        <v>45</v>
      </c>
      <c r="E7">
        <v>1946.1</v>
      </c>
      <c r="F7">
        <v>290.8</v>
      </c>
      <c r="G7">
        <v>454.3</v>
      </c>
      <c r="I7" s="53" t="s">
        <v>81</v>
      </c>
      <c r="J7" s="2">
        <v>2021</v>
      </c>
      <c r="K7" s="8">
        <f>(E11-E10)/E10</f>
        <v>5.0276908259089856E-2</v>
      </c>
      <c r="L7" s="8">
        <f t="shared" ref="L7:M7" si="3">(F11-F10)/F10</f>
        <v>5.4096804808604758E-2</v>
      </c>
      <c r="M7" s="8">
        <f t="shared" si="3"/>
        <v>4.5191689869351091E-2</v>
      </c>
    </row>
    <row r="8" spans="2:13" ht="15">
      <c r="B8" s="9" t="s">
        <v>33</v>
      </c>
      <c r="C8" s="2">
        <v>2020</v>
      </c>
      <c r="D8" s="2" t="s">
        <v>31</v>
      </c>
      <c r="E8">
        <v>1940.4</v>
      </c>
      <c r="F8">
        <v>293.5</v>
      </c>
      <c r="G8">
        <v>456.2</v>
      </c>
      <c r="I8" s="53"/>
      <c r="J8" s="2">
        <v>2022</v>
      </c>
      <c r="K8" s="8">
        <f>(E13-E12)/E12</f>
        <v>5.5078088901210742E-2</v>
      </c>
      <c r="L8" s="8">
        <f t="shared" ref="L8:M8" si="4">(F13-F12)/F12</f>
        <v>6.7284688995215322E-2</v>
      </c>
      <c r="M8" s="8">
        <f t="shared" si="4"/>
        <v>5.425249847032422E-2</v>
      </c>
    </row>
    <row r="9" spans="2:13" ht="15">
      <c r="B9" s="9" t="s">
        <v>33</v>
      </c>
      <c r="C9" s="2">
        <v>2020</v>
      </c>
      <c r="D9" s="2" t="s">
        <v>45</v>
      </c>
      <c r="E9">
        <v>2109.1</v>
      </c>
      <c r="F9">
        <v>315.39999999999998</v>
      </c>
      <c r="G9">
        <v>467.5</v>
      </c>
    </row>
    <row r="10" spans="2:13" ht="15">
      <c r="B10" s="9" t="s">
        <v>33</v>
      </c>
      <c r="C10" s="2">
        <v>2021</v>
      </c>
      <c r="D10" s="2" t="s">
        <v>31</v>
      </c>
      <c r="E10">
        <v>2076.5</v>
      </c>
      <c r="F10">
        <v>316.10000000000002</v>
      </c>
      <c r="G10">
        <v>466.9</v>
      </c>
    </row>
    <row r="11" spans="2:13" ht="15">
      <c r="B11" s="9" t="s">
        <v>33</v>
      </c>
      <c r="C11" s="2">
        <v>2021</v>
      </c>
      <c r="D11" s="2" t="s">
        <v>45</v>
      </c>
      <c r="E11">
        <v>2180.9</v>
      </c>
      <c r="F11">
        <v>333.2</v>
      </c>
      <c r="G11">
        <v>488</v>
      </c>
    </row>
    <row r="12" spans="2:13" ht="15">
      <c r="B12" s="9" t="s">
        <v>33</v>
      </c>
      <c r="C12" s="2">
        <v>2022</v>
      </c>
      <c r="D12" s="2" t="s">
        <v>31</v>
      </c>
      <c r="E12">
        <v>2164.1999999999998</v>
      </c>
      <c r="F12">
        <v>334.4</v>
      </c>
      <c r="G12">
        <v>490.3</v>
      </c>
    </row>
    <row r="13" spans="2:13" ht="15">
      <c r="B13" s="9" t="s">
        <v>33</v>
      </c>
      <c r="C13" s="2">
        <v>2022</v>
      </c>
      <c r="D13" s="2" t="s">
        <v>45</v>
      </c>
      <c r="E13">
        <v>2283.4</v>
      </c>
      <c r="F13">
        <v>356.9</v>
      </c>
      <c r="G13">
        <v>516.9</v>
      </c>
    </row>
  </sheetData>
  <mergeCells count="2">
    <mergeCell ref="I4:I5"/>
    <mergeCell ref="I7:I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07DFD-B2C9-48AC-8698-804826BDC43B}">
  <dimension ref="A2:N84"/>
  <sheetViews>
    <sheetView workbookViewId="0">
      <selection activeCell="A67" sqref="A67:N68"/>
    </sheetView>
  </sheetViews>
  <sheetFormatPr defaultColWidth="9" defaultRowHeight="14.4"/>
  <sheetData>
    <row r="2" spans="1:14">
      <c r="A2" s="54" t="s">
        <v>82</v>
      </c>
      <c r="B2" s="54"/>
      <c r="C2" s="54"/>
      <c r="D2" s="54"/>
      <c r="E2" s="54"/>
      <c r="F2" s="54"/>
      <c r="G2" s="54"/>
      <c r="H2" s="54"/>
      <c r="I2" s="54"/>
      <c r="J2" s="54"/>
      <c r="K2" s="54"/>
      <c r="L2" s="54"/>
      <c r="M2" s="54"/>
    </row>
    <row r="4" spans="1:14" ht="17.399999999999999">
      <c r="A4" s="55" t="s">
        <v>83</v>
      </c>
      <c r="B4" s="55"/>
      <c r="C4" s="55"/>
      <c r="D4" s="55"/>
      <c r="E4" s="55"/>
      <c r="F4" s="55"/>
      <c r="G4" s="55"/>
      <c r="H4" s="55"/>
      <c r="I4" s="55"/>
      <c r="J4" s="55"/>
      <c r="K4" s="55"/>
      <c r="L4" s="55"/>
      <c r="M4" s="55"/>
      <c r="N4" s="55"/>
    </row>
    <row r="5" spans="1:14" ht="52.2">
      <c r="A5" s="22" t="s">
        <v>84</v>
      </c>
      <c r="B5" s="23" t="s">
        <v>85</v>
      </c>
      <c r="C5" s="23" t="s">
        <v>86</v>
      </c>
      <c r="D5" s="23" t="s">
        <v>87</v>
      </c>
      <c r="E5" s="23" t="s">
        <v>88</v>
      </c>
      <c r="F5" s="23" t="s">
        <v>89</v>
      </c>
      <c r="G5" s="23" t="s">
        <v>90</v>
      </c>
      <c r="H5" s="23" t="s">
        <v>91</v>
      </c>
      <c r="I5" s="23" t="s">
        <v>92</v>
      </c>
      <c r="J5" s="23" t="s">
        <v>93</v>
      </c>
      <c r="K5" s="23" t="s">
        <v>94</v>
      </c>
      <c r="L5" s="23" t="s">
        <v>95</v>
      </c>
      <c r="M5" s="23" t="s">
        <v>96</v>
      </c>
      <c r="N5" s="23" t="s">
        <v>53</v>
      </c>
    </row>
    <row r="6" spans="1:14" ht="15.6">
      <c r="A6" s="12" t="s">
        <v>97</v>
      </c>
      <c r="B6" s="13"/>
      <c r="C6" s="13"/>
      <c r="D6" s="13"/>
      <c r="E6" s="13"/>
      <c r="F6" s="13"/>
      <c r="G6" s="13"/>
      <c r="H6" s="13"/>
      <c r="I6" s="13"/>
      <c r="J6" s="13"/>
      <c r="K6" s="13"/>
      <c r="L6" s="13"/>
      <c r="M6" s="13"/>
      <c r="N6" s="13"/>
    </row>
    <row r="7" spans="1:14" ht="15.6">
      <c r="A7" s="14" t="s">
        <v>98</v>
      </c>
      <c r="B7" s="15">
        <v>23097.821286341001</v>
      </c>
      <c r="C7" s="15">
        <v>17134.2216526538</v>
      </c>
      <c r="D7" s="15">
        <v>24391.228603842399</v>
      </c>
      <c r="E7" s="15">
        <v>28431.9935371139</v>
      </c>
      <c r="F7" s="15">
        <v>40659.068498645996</v>
      </c>
      <c r="G7" s="15">
        <v>34353.850793896498</v>
      </c>
      <c r="H7" s="15">
        <v>33074.491674390898</v>
      </c>
      <c r="I7" s="15">
        <v>40926.853933740204</v>
      </c>
      <c r="J7" s="15">
        <v>52165.863453700404</v>
      </c>
      <c r="K7" s="15">
        <v>55990.924602459403</v>
      </c>
      <c r="L7" s="15">
        <v>48033.558892131798</v>
      </c>
      <c r="M7" s="15">
        <v>61518.692284107201</v>
      </c>
      <c r="N7" s="16">
        <f>SUM(B7:M7)</f>
        <v>459778.56921302353</v>
      </c>
    </row>
    <row r="8" spans="1:14" ht="15.6">
      <c r="A8" s="14" t="s">
        <v>99</v>
      </c>
      <c r="B8" s="15"/>
      <c r="C8" s="15"/>
      <c r="D8" s="15"/>
      <c r="E8" s="15"/>
      <c r="F8" s="15"/>
      <c r="G8" s="15"/>
      <c r="H8" s="15"/>
      <c r="I8" s="15"/>
      <c r="J8" s="15"/>
      <c r="K8" s="15"/>
      <c r="L8" s="15"/>
      <c r="M8" s="15"/>
      <c r="N8" s="16"/>
    </row>
    <row r="9" spans="1:14">
      <c r="A9" s="17" t="s">
        <v>100</v>
      </c>
      <c r="B9" s="15">
        <v>3028.6633525381399</v>
      </c>
      <c r="C9" s="15">
        <v>4080.38234754728</v>
      </c>
      <c r="D9" s="15">
        <v>3267.7466468534199</v>
      </c>
      <c r="E9" s="15">
        <v>2565.3385494470199</v>
      </c>
      <c r="F9" s="15">
        <v>3400.6782715582899</v>
      </c>
      <c r="G9" s="15">
        <v>4559.2961006584601</v>
      </c>
      <c r="H9" s="15">
        <v>4185.4035102476901</v>
      </c>
      <c r="I9" s="15">
        <v>4774.5681477176704</v>
      </c>
      <c r="J9" s="15">
        <v>5254.2569703076897</v>
      </c>
      <c r="K9" s="15">
        <v>5572.3050557540701</v>
      </c>
      <c r="L9" s="15">
        <v>6807.5725751916798</v>
      </c>
      <c r="M9" s="15">
        <v>6256.2470244764099</v>
      </c>
      <c r="N9" s="16">
        <f t="shared" ref="N9:N19" si="0">SUM(B9:M9)</f>
        <v>53752.458552297816</v>
      </c>
    </row>
    <row r="10" spans="1:14">
      <c r="A10" s="18" t="s">
        <v>101</v>
      </c>
      <c r="B10" s="15">
        <v>0.40333380000000002</v>
      </c>
      <c r="C10" s="15">
        <v>0</v>
      </c>
      <c r="D10" s="15">
        <v>101.93460760000001</v>
      </c>
      <c r="E10" s="15">
        <v>115.636664465354</v>
      </c>
      <c r="F10" s="15">
        <v>109.0483991</v>
      </c>
      <c r="G10" s="15">
        <v>230.52867366527801</v>
      </c>
      <c r="H10" s="15">
        <v>399.562655510593</v>
      </c>
      <c r="I10" s="15">
        <v>473.67174739591002</v>
      </c>
      <c r="J10" s="15">
        <v>2016.77604739868</v>
      </c>
      <c r="K10" s="15">
        <v>513.69702615383403</v>
      </c>
      <c r="L10" s="15">
        <v>357.41354279339203</v>
      </c>
      <c r="M10" s="15">
        <v>630.95253884394799</v>
      </c>
      <c r="N10" s="16">
        <f t="shared" si="0"/>
        <v>4949.625236726989</v>
      </c>
    </row>
    <row r="11" spans="1:14">
      <c r="A11" s="17" t="s">
        <v>102</v>
      </c>
      <c r="B11" s="15">
        <v>63.385743953439999</v>
      </c>
      <c r="C11" s="15">
        <v>86.609988647199998</v>
      </c>
      <c r="D11" s="15">
        <v>464.45646922783999</v>
      </c>
      <c r="E11" s="15">
        <v>488.29294905733002</v>
      </c>
      <c r="F11" s="15">
        <v>422.69160846475</v>
      </c>
      <c r="G11" s="15">
        <v>287.53547600000002</v>
      </c>
      <c r="H11" s="15">
        <v>472.80765559999998</v>
      </c>
      <c r="I11" s="15">
        <v>540.05155439999999</v>
      </c>
      <c r="J11" s="15">
        <v>272.71709980000003</v>
      </c>
      <c r="K11" s="15">
        <v>170.25713479999999</v>
      </c>
      <c r="L11" s="15">
        <v>425.83151190000001</v>
      </c>
      <c r="M11" s="15">
        <v>149.4064343</v>
      </c>
      <c r="N11" s="16">
        <f t="shared" si="0"/>
        <v>3844.0436261505602</v>
      </c>
    </row>
    <row r="12" spans="1:14">
      <c r="A12" s="17" t="s">
        <v>103</v>
      </c>
      <c r="B12" s="15">
        <v>2.5390999999999999E-3</v>
      </c>
      <c r="C12" s="15">
        <v>1.0004E-3</v>
      </c>
      <c r="D12" s="15">
        <v>0</v>
      </c>
      <c r="E12" s="15">
        <v>2.7309000000000001E-3</v>
      </c>
      <c r="F12" s="15">
        <v>0</v>
      </c>
      <c r="G12" s="15">
        <v>0</v>
      </c>
      <c r="H12" s="15">
        <v>3.5579999999999997E-4</v>
      </c>
      <c r="I12" s="15">
        <v>0</v>
      </c>
      <c r="J12" s="15">
        <v>0</v>
      </c>
      <c r="K12" s="15">
        <v>0</v>
      </c>
      <c r="L12" s="15">
        <v>2.0701000000000001E-3</v>
      </c>
      <c r="M12" s="15">
        <v>0</v>
      </c>
      <c r="N12" s="16">
        <f t="shared" si="0"/>
        <v>8.6963000000000006E-3</v>
      </c>
    </row>
    <row r="13" spans="1:14">
      <c r="A13" s="18" t="s">
        <v>104</v>
      </c>
      <c r="B13" s="15">
        <v>0</v>
      </c>
      <c r="C13" s="15">
        <v>0</v>
      </c>
      <c r="D13" s="15">
        <v>2.6053000000000001E-3</v>
      </c>
      <c r="E13" s="15">
        <v>9.3752490000000002</v>
      </c>
      <c r="F13" s="15">
        <v>0</v>
      </c>
      <c r="G13" s="15">
        <v>0.62245360000000005</v>
      </c>
      <c r="H13" s="15">
        <v>2.0913015000000001</v>
      </c>
      <c r="I13" s="15">
        <v>1.8352500000000001E-2</v>
      </c>
      <c r="J13" s="15">
        <v>2.5693500000000001E-2</v>
      </c>
      <c r="K13" s="15">
        <v>0</v>
      </c>
      <c r="L13" s="15">
        <v>0</v>
      </c>
      <c r="M13" s="15">
        <v>1.8431000000000001E-3</v>
      </c>
      <c r="N13" s="16">
        <f t="shared" si="0"/>
        <v>12.137498500000001</v>
      </c>
    </row>
    <row r="14" spans="1:14">
      <c r="A14" s="17" t="s">
        <v>105</v>
      </c>
      <c r="B14" s="15">
        <v>83.844893667091299</v>
      </c>
      <c r="C14" s="15">
        <v>74.723229063232793</v>
      </c>
      <c r="D14" s="15">
        <v>199.16736700000001</v>
      </c>
      <c r="E14" s="15">
        <v>394.9717086</v>
      </c>
      <c r="F14" s="15">
        <v>11.737663100000001</v>
      </c>
      <c r="G14" s="15">
        <v>7.5919416999999996</v>
      </c>
      <c r="H14" s="15">
        <v>35.406694199999997</v>
      </c>
      <c r="I14" s="15">
        <v>9.2796564000000004</v>
      </c>
      <c r="J14" s="15">
        <v>797.02638594386303</v>
      </c>
      <c r="K14" s="15">
        <v>242.43263504394099</v>
      </c>
      <c r="L14" s="15">
        <v>67.237493900000004</v>
      </c>
      <c r="M14" s="15">
        <v>36.623313099999997</v>
      </c>
      <c r="N14" s="16">
        <f t="shared" si="0"/>
        <v>1960.042981718128</v>
      </c>
    </row>
    <row r="15" spans="1:14">
      <c r="A15" s="17" t="s">
        <v>106</v>
      </c>
      <c r="B15" s="15">
        <v>735.31661899999995</v>
      </c>
      <c r="C15" s="15">
        <v>407.72031679999998</v>
      </c>
      <c r="D15" s="15">
        <v>443.6546621</v>
      </c>
      <c r="E15" s="15">
        <v>747.21747595847</v>
      </c>
      <c r="F15" s="15">
        <v>886.39726012439496</v>
      </c>
      <c r="G15" s="15">
        <v>922.99869750000005</v>
      </c>
      <c r="H15" s="15">
        <v>1127.87810331947</v>
      </c>
      <c r="I15" s="15">
        <v>1370.49869526986</v>
      </c>
      <c r="J15" s="15">
        <v>1344.13479164152</v>
      </c>
      <c r="K15" s="15">
        <v>1452.60906464756</v>
      </c>
      <c r="L15" s="15">
        <v>1385.09567796238</v>
      </c>
      <c r="M15" s="15">
        <v>1346.73159841085</v>
      </c>
      <c r="N15" s="16">
        <f t="shared" si="0"/>
        <v>12170.252962734505</v>
      </c>
    </row>
    <row r="16" spans="1:14">
      <c r="A16" s="17" t="s">
        <v>107</v>
      </c>
      <c r="B16" s="15">
        <v>555.10848119890795</v>
      </c>
      <c r="C16" s="15">
        <v>639.86338558528996</v>
      </c>
      <c r="D16" s="15">
        <v>964.77656156002297</v>
      </c>
      <c r="E16" s="15">
        <v>2459.7076130893502</v>
      </c>
      <c r="F16" s="15">
        <v>1005.4711064419701</v>
      </c>
      <c r="G16" s="15">
        <v>493.742130786921</v>
      </c>
      <c r="H16" s="15">
        <v>328.048935753482</v>
      </c>
      <c r="I16" s="15">
        <v>495.96970273396499</v>
      </c>
      <c r="J16" s="15">
        <v>1138.16013236447</v>
      </c>
      <c r="K16" s="15">
        <v>949.73541854747396</v>
      </c>
      <c r="L16" s="15">
        <v>2109.5523972849001</v>
      </c>
      <c r="M16" s="15">
        <v>3171.5482803821801</v>
      </c>
      <c r="N16" s="16">
        <f t="shared" si="0"/>
        <v>14311.684145728932</v>
      </c>
    </row>
    <row r="17" spans="1:14">
      <c r="A17" s="17" t="s">
        <v>108</v>
      </c>
      <c r="B17" s="15">
        <v>191.87441810000001</v>
      </c>
      <c r="C17" s="15">
        <v>180.86787530000001</v>
      </c>
      <c r="D17" s="15">
        <v>274.95764009999999</v>
      </c>
      <c r="E17" s="15">
        <v>290.28508019999998</v>
      </c>
      <c r="F17" s="15">
        <v>154.8337665</v>
      </c>
      <c r="G17" s="15">
        <v>195.88350410000001</v>
      </c>
      <c r="H17" s="15">
        <v>196.86051839999999</v>
      </c>
      <c r="I17" s="15">
        <v>293.70641760000001</v>
      </c>
      <c r="J17" s="15">
        <v>464.99006789999999</v>
      </c>
      <c r="K17" s="15">
        <v>670.91220650000002</v>
      </c>
      <c r="L17" s="15">
        <v>697.81682327188003</v>
      </c>
      <c r="M17" s="15">
        <v>712.22570957661003</v>
      </c>
      <c r="N17" s="16">
        <f t="shared" si="0"/>
        <v>4325.2140275484899</v>
      </c>
    </row>
    <row r="18" spans="1:14">
      <c r="A18" s="17" t="s">
        <v>109</v>
      </c>
      <c r="B18" s="15">
        <v>386.73427809999998</v>
      </c>
      <c r="C18" s="15">
        <v>1138.4077264</v>
      </c>
      <c r="D18" s="15">
        <v>501.1174972</v>
      </c>
      <c r="E18" s="15">
        <v>630.69386889999998</v>
      </c>
      <c r="F18" s="15">
        <v>592.57781039999998</v>
      </c>
      <c r="G18" s="15">
        <v>482.70316489999999</v>
      </c>
      <c r="H18" s="15">
        <v>519.7697786</v>
      </c>
      <c r="I18" s="15">
        <v>495.57564509999997</v>
      </c>
      <c r="J18" s="15">
        <v>500.87192909999999</v>
      </c>
      <c r="K18" s="15">
        <v>307.32140500000003</v>
      </c>
      <c r="L18" s="15">
        <v>150.2582668</v>
      </c>
      <c r="M18" s="15">
        <v>703.62129870000001</v>
      </c>
      <c r="N18" s="16">
        <f t="shared" si="0"/>
        <v>6409.6526691999989</v>
      </c>
    </row>
    <row r="19" spans="1:14">
      <c r="A19" s="17" t="s">
        <v>110</v>
      </c>
      <c r="B19" s="15">
        <v>628.77301123375003</v>
      </c>
      <c r="C19" s="15">
        <v>478.89013616</v>
      </c>
      <c r="D19" s="15">
        <v>762.24358941170897</v>
      </c>
      <c r="E19" s="15">
        <v>872.57490125112599</v>
      </c>
      <c r="F19" s="15">
        <v>476.28246573631702</v>
      </c>
      <c r="G19" s="15">
        <v>369.2260532249</v>
      </c>
      <c r="H19" s="15">
        <v>523.00391556361603</v>
      </c>
      <c r="I19" s="15">
        <v>388.158773977088</v>
      </c>
      <c r="J19" s="15">
        <v>494.132302970198</v>
      </c>
      <c r="K19" s="15">
        <v>825.28410596840001</v>
      </c>
      <c r="L19" s="15">
        <v>931.251811052824</v>
      </c>
      <c r="M19" s="15">
        <v>944.72380576032697</v>
      </c>
      <c r="N19" s="16">
        <f t="shared" si="0"/>
        <v>7694.5448723102554</v>
      </c>
    </row>
    <row r="20" spans="1:14" ht="15.6">
      <c r="A20" s="19" t="s">
        <v>111</v>
      </c>
      <c r="B20" s="20">
        <f t="shared" ref="B20:N20" si="1">SUM(B9:B19)</f>
        <v>5674.1066706913289</v>
      </c>
      <c r="C20" s="20">
        <f t="shared" si="1"/>
        <v>7087.466005903002</v>
      </c>
      <c r="D20" s="20">
        <f t="shared" si="1"/>
        <v>6980.0576463529924</v>
      </c>
      <c r="E20" s="20">
        <f t="shared" si="1"/>
        <v>8574.0967908686507</v>
      </c>
      <c r="F20" s="20">
        <f t="shared" si="1"/>
        <v>7059.7183514257222</v>
      </c>
      <c r="G20" s="20">
        <f t="shared" si="1"/>
        <v>7550.1281961355589</v>
      </c>
      <c r="H20" s="20">
        <f t="shared" si="1"/>
        <v>7790.8334244948492</v>
      </c>
      <c r="I20" s="20">
        <f t="shared" si="1"/>
        <v>8841.4986930944942</v>
      </c>
      <c r="J20" s="20">
        <f t="shared" si="1"/>
        <v>12283.091420926421</v>
      </c>
      <c r="K20" s="20">
        <f t="shared" si="1"/>
        <v>10704.554052415278</v>
      </c>
      <c r="L20" s="20">
        <f t="shared" si="1"/>
        <v>12932.032170257056</v>
      </c>
      <c r="M20" s="20">
        <f t="shared" si="1"/>
        <v>13952.081846650324</v>
      </c>
      <c r="N20" s="20">
        <f t="shared" si="1"/>
        <v>109429.66526921568</v>
      </c>
    </row>
    <row r="21" spans="1:14" ht="15.6">
      <c r="A21" s="21" t="s">
        <v>112</v>
      </c>
      <c r="B21" s="20">
        <f>+B20+B7</f>
        <v>28771.927957032331</v>
      </c>
      <c r="C21" s="20">
        <f>+C20+C7</f>
        <v>24221.687658556802</v>
      </c>
      <c r="D21" s="20">
        <f>+D20+D7</f>
        <v>31371.286250195393</v>
      </c>
      <c r="E21" s="20">
        <f>+E20+E7</f>
        <v>37006.090327982551</v>
      </c>
      <c r="F21" s="20">
        <f>+F20+F7</f>
        <v>47718.786850071716</v>
      </c>
      <c r="G21" s="20">
        <f t="shared" ref="G21:N21" si="2">+G7+G20</f>
        <v>41903.978990032054</v>
      </c>
      <c r="H21" s="20">
        <f t="shared" si="2"/>
        <v>40865.325098885747</v>
      </c>
      <c r="I21" s="20">
        <f t="shared" si="2"/>
        <v>49768.352626834698</v>
      </c>
      <c r="J21" s="20">
        <f t="shared" si="2"/>
        <v>64448.954874626826</v>
      </c>
      <c r="K21" s="20">
        <f t="shared" si="2"/>
        <v>66695.478654874678</v>
      </c>
      <c r="L21" s="20">
        <f t="shared" si="2"/>
        <v>60965.591062388856</v>
      </c>
      <c r="M21" s="20">
        <f t="shared" si="2"/>
        <v>75470.77413075752</v>
      </c>
      <c r="N21" s="20">
        <f t="shared" si="2"/>
        <v>569208.23448223923</v>
      </c>
    </row>
    <row r="26" spans="1:14" ht="17.399999999999999">
      <c r="A26" s="55" t="s">
        <v>113</v>
      </c>
      <c r="B26" s="55"/>
      <c r="C26" s="55"/>
      <c r="D26" s="55"/>
      <c r="E26" s="55"/>
      <c r="F26" s="55"/>
      <c r="G26" s="55"/>
      <c r="H26" s="55"/>
      <c r="I26" s="55"/>
      <c r="J26" s="55"/>
      <c r="K26" s="55"/>
      <c r="L26" s="55"/>
      <c r="M26" s="55"/>
      <c r="N26" s="55"/>
    </row>
    <row r="27" spans="1:14" ht="52.2">
      <c r="A27" s="22" t="s">
        <v>84</v>
      </c>
      <c r="B27" s="23" t="s">
        <v>85</v>
      </c>
      <c r="C27" s="23" t="s">
        <v>86</v>
      </c>
      <c r="D27" s="23" t="s">
        <v>87</v>
      </c>
      <c r="E27" s="23" t="s">
        <v>88</v>
      </c>
      <c r="F27" s="23" t="s">
        <v>89</v>
      </c>
      <c r="G27" s="23" t="s">
        <v>90</v>
      </c>
      <c r="H27" s="23" t="s">
        <v>91</v>
      </c>
      <c r="I27" s="23" t="s">
        <v>92</v>
      </c>
      <c r="J27" s="23" t="s">
        <v>93</v>
      </c>
      <c r="K27" s="23" t="s">
        <v>94</v>
      </c>
      <c r="L27" s="23" t="s">
        <v>95</v>
      </c>
      <c r="M27" s="23" t="s">
        <v>96</v>
      </c>
      <c r="N27" s="23" t="s">
        <v>53</v>
      </c>
    </row>
    <row r="28" spans="1:14" ht="15.6">
      <c r="A28" s="12" t="s">
        <v>97</v>
      </c>
      <c r="B28" s="13"/>
      <c r="C28" s="13"/>
      <c r="D28" s="13"/>
      <c r="E28" s="13"/>
      <c r="F28" s="13"/>
      <c r="G28" s="13"/>
      <c r="H28" s="13"/>
      <c r="I28" s="13"/>
      <c r="J28" s="13"/>
      <c r="K28" s="13"/>
      <c r="L28" s="13"/>
      <c r="M28" s="13"/>
      <c r="N28" s="13"/>
    </row>
    <row r="29" spans="1:14" ht="15.6">
      <c r="A29" s="14" t="s">
        <v>98</v>
      </c>
      <c r="B29" s="15">
        <v>63309.498622749903</v>
      </c>
      <c r="C29" s="15">
        <v>60800.383481587203</v>
      </c>
      <c r="D29" s="15">
        <v>61073.298999169303</v>
      </c>
      <c r="E29" s="15">
        <v>59460.9504380578</v>
      </c>
      <c r="F29" s="15">
        <v>67310.659830633595</v>
      </c>
      <c r="G29" s="15">
        <v>69109.876194440003</v>
      </c>
      <c r="H29" s="15">
        <v>72054.196930859296</v>
      </c>
      <c r="I29" s="15">
        <v>79009.388695268004</v>
      </c>
      <c r="J29" s="15">
        <v>81771.141778992896</v>
      </c>
      <c r="K29" s="15">
        <v>86692.515382787504</v>
      </c>
      <c r="L29" s="15">
        <v>87441.416368947495</v>
      </c>
      <c r="M29" s="15">
        <v>113228.86524779499</v>
      </c>
      <c r="N29" s="16">
        <f>SUM(B29:M29)</f>
        <v>901262.19197128783</v>
      </c>
    </row>
    <row r="30" spans="1:14" ht="15.6">
      <c r="A30" s="14" t="s">
        <v>99</v>
      </c>
      <c r="B30" s="15"/>
      <c r="C30" s="15"/>
      <c r="D30" s="15"/>
      <c r="E30" s="15"/>
      <c r="F30" s="15"/>
      <c r="G30" s="15"/>
      <c r="H30" s="15"/>
      <c r="I30" s="15"/>
      <c r="J30" s="15"/>
      <c r="K30" s="15"/>
      <c r="L30" s="15"/>
      <c r="M30" s="15"/>
      <c r="N30" s="16"/>
    </row>
    <row r="31" spans="1:14">
      <c r="A31" s="17" t="s">
        <v>100</v>
      </c>
      <c r="B31" s="15">
        <v>4331.0805045535799</v>
      </c>
      <c r="C31" s="15">
        <v>3901.8497085357099</v>
      </c>
      <c r="D31" s="15">
        <v>5595.7045201586498</v>
      </c>
      <c r="E31" s="15">
        <v>6495.7335331540498</v>
      </c>
      <c r="F31" s="15">
        <v>8248.4288123209008</v>
      </c>
      <c r="G31" s="15">
        <v>7704.7650736206797</v>
      </c>
      <c r="H31" s="15">
        <v>9772.1868439781192</v>
      </c>
      <c r="I31" s="15">
        <v>10281.7853493149</v>
      </c>
      <c r="J31" s="15">
        <v>9846.5423623025599</v>
      </c>
      <c r="K31" s="15">
        <v>7748.1723591628697</v>
      </c>
      <c r="L31" s="15">
        <v>7419.08239977628</v>
      </c>
      <c r="M31" s="15">
        <v>10123.066217309501</v>
      </c>
      <c r="N31" s="16">
        <f t="shared" ref="N31:N41" si="3">SUM(B31:M31)</f>
        <v>91468.397684187803</v>
      </c>
    </row>
    <row r="32" spans="1:14">
      <c r="A32" s="18" t="s">
        <v>101</v>
      </c>
      <c r="B32" s="15">
        <v>349.455036634561</v>
      </c>
      <c r="C32" s="15">
        <v>0</v>
      </c>
      <c r="D32" s="15">
        <v>0</v>
      </c>
      <c r="E32" s="15">
        <v>0.14789540000000001</v>
      </c>
      <c r="F32" s="15">
        <v>0</v>
      </c>
      <c r="G32" s="15">
        <v>592.97964412445003</v>
      </c>
      <c r="H32" s="15">
        <v>2753.5997885095198</v>
      </c>
      <c r="I32" s="15">
        <v>198.408351239556</v>
      </c>
      <c r="J32" s="15">
        <v>0.13733629999999999</v>
      </c>
      <c r="K32" s="15">
        <v>0</v>
      </c>
      <c r="L32" s="15">
        <v>7.4936600000000006E-2</v>
      </c>
      <c r="M32" s="15">
        <v>0</v>
      </c>
      <c r="N32" s="16">
        <f t="shared" si="3"/>
        <v>3894.8029888080864</v>
      </c>
    </row>
    <row r="33" spans="1:14">
      <c r="A33" s="17" t="s">
        <v>102</v>
      </c>
      <c r="B33" s="15">
        <v>169.37454483524601</v>
      </c>
      <c r="C33" s="15">
        <v>179.870949</v>
      </c>
      <c r="D33" s="15">
        <v>184.241564417029</v>
      </c>
      <c r="E33" s="15">
        <v>0</v>
      </c>
      <c r="F33" s="15">
        <v>0</v>
      </c>
      <c r="G33" s="15">
        <v>0</v>
      </c>
      <c r="H33" s="15">
        <v>0</v>
      </c>
      <c r="I33" s="15">
        <v>121.39173630000001</v>
      </c>
      <c r="J33" s="15">
        <v>0</v>
      </c>
      <c r="K33" s="15">
        <v>0</v>
      </c>
      <c r="L33" s="15">
        <v>0</v>
      </c>
      <c r="M33" s="15">
        <v>843.91668990000005</v>
      </c>
      <c r="N33" s="16">
        <f t="shared" si="3"/>
        <v>1498.7954844522751</v>
      </c>
    </row>
    <row r="34" spans="1:14">
      <c r="A34" s="17" t="s">
        <v>103</v>
      </c>
      <c r="B34" s="15">
        <v>0</v>
      </c>
      <c r="C34" s="15">
        <v>0</v>
      </c>
      <c r="D34" s="15">
        <v>0</v>
      </c>
      <c r="E34" s="15">
        <v>0</v>
      </c>
      <c r="F34" s="15">
        <v>0</v>
      </c>
      <c r="G34" s="15">
        <v>0</v>
      </c>
      <c r="H34" s="15">
        <v>0</v>
      </c>
      <c r="I34" s="15">
        <v>0</v>
      </c>
      <c r="J34" s="15">
        <v>0</v>
      </c>
      <c r="K34" s="15">
        <v>0</v>
      </c>
      <c r="L34" s="15">
        <v>0</v>
      </c>
      <c r="M34" s="15">
        <v>0</v>
      </c>
      <c r="N34" s="16">
        <f t="shared" si="3"/>
        <v>0</v>
      </c>
    </row>
    <row r="35" spans="1:14">
      <c r="A35" s="18" t="s">
        <v>104</v>
      </c>
      <c r="B35" s="15">
        <v>0</v>
      </c>
      <c r="C35" s="15">
        <v>0</v>
      </c>
      <c r="D35" s="15">
        <v>0</v>
      </c>
      <c r="E35" s="15">
        <v>0</v>
      </c>
      <c r="F35" s="15">
        <v>0</v>
      </c>
      <c r="G35" s="15">
        <v>0</v>
      </c>
      <c r="H35" s="15">
        <v>0</v>
      </c>
      <c r="I35" s="15">
        <v>0</v>
      </c>
      <c r="J35" s="15">
        <v>0</v>
      </c>
      <c r="K35" s="15">
        <v>0</v>
      </c>
      <c r="L35" s="15">
        <v>0</v>
      </c>
      <c r="M35" s="15">
        <v>0</v>
      </c>
      <c r="N35" s="16">
        <f t="shared" si="3"/>
        <v>0</v>
      </c>
    </row>
    <row r="36" spans="1:14">
      <c r="A36" s="17" t="s">
        <v>105</v>
      </c>
      <c r="B36" s="15">
        <v>10.8569897</v>
      </c>
      <c r="C36" s="15">
        <v>19.5426103</v>
      </c>
      <c r="D36" s="15">
        <v>6.5960564000000002</v>
      </c>
      <c r="E36" s="15">
        <v>4.8623181000000004</v>
      </c>
      <c r="F36" s="15">
        <v>20.7515882</v>
      </c>
      <c r="G36" s="15">
        <v>21.584827700000002</v>
      </c>
      <c r="H36" s="15">
        <v>10.921708600000001</v>
      </c>
      <c r="I36" s="15">
        <v>35.7928821</v>
      </c>
      <c r="J36" s="15">
        <v>30.897299</v>
      </c>
      <c r="K36" s="15">
        <v>17.471872600000001</v>
      </c>
      <c r="L36" s="15">
        <v>35.573634900000002</v>
      </c>
      <c r="M36" s="15">
        <v>38.134251599999999</v>
      </c>
      <c r="N36" s="16">
        <f t="shared" si="3"/>
        <v>252.98603920000002</v>
      </c>
    </row>
    <row r="37" spans="1:14">
      <c r="A37" s="17" t="s">
        <v>106</v>
      </c>
      <c r="B37" s="15">
        <v>1866.1582330270001</v>
      </c>
      <c r="C37" s="15">
        <v>1665.0693524753201</v>
      </c>
      <c r="D37" s="15">
        <v>1332.6023745</v>
      </c>
      <c r="E37" s="15">
        <v>1368.84348327055</v>
      </c>
      <c r="F37" s="15">
        <v>1584.25820963673</v>
      </c>
      <c r="G37" s="15">
        <v>1559.2016386314201</v>
      </c>
      <c r="H37" s="15">
        <v>2181.2363866461201</v>
      </c>
      <c r="I37" s="15">
        <v>1442.3871379243999</v>
      </c>
      <c r="J37" s="15">
        <v>2130.4848044455698</v>
      </c>
      <c r="K37" s="15">
        <v>1053.875039</v>
      </c>
      <c r="L37" s="15">
        <v>1459.0109164999999</v>
      </c>
      <c r="M37" s="15">
        <v>2061.1262651000002</v>
      </c>
      <c r="N37" s="16">
        <f t="shared" si="3"/>
        <v>19704.253841157111</v>
      </c>
    </row>
    <row r="38" spans="1:14">
      <c r="A38" s="17" t="s">
        <v>107</v>
      </c>
      <c r="B38" s="15">
        <v>2288.4191319281099</v>
      </c>
      <c r="C38" s="15">
        <v>1770.4728594001699</v>
      </c>
      <c r="D38" s="15">
        <v>1770.7152182333</v>
      </c>
      <c r="E38" s="15">
        <v>3191.2333356598201</v>
      </c>
      <c r="F38" s="15">
        <v>2269.87303162731</v>
      </c>
      <c r="G38" s="15">
        <v>1392.65381563035</v>
      </c>
      <c r="H38" s="15">
        <v>2786.0343695399301</v>
      </c>
      <c r="I38" s="15">
        <v>2071.8881447993299</v>
      </c>
      <c r="J38" s="15">
        <v>3041.7941565686801</v>
      </c>
      <c r="K38" s="15">
        <v>2976.11140479392</v>
      </c>
      <c r="L38" s="15">
        <v>3784.25541054734</v>
      </c>
      <c r="M38" s="15">
        <v>5471.3310131703402</v>
      </c>
      <c r="N38" s="16">
        <f t="shared" si="3"/>
        <v>32814.781891898601</v>
      </c>
    </row>
    <row r="39" spans="1:14">
      <c r="A39" s="17" t="s">
        <v>108</v>
      </c>
      <c r="B39" s="15">
        <v>844.60629867399996</v>
      </c>
      <c r="C39" s="15">
        <v>680.32935090000001</v>
      </c>
      <c r="D39" s="15">
        <v>537.62193709999997</v>
      </c>
      <c r="E39" s="15">
        <v>406.9404925</v>
      </c>
      <c r="F39" s="15">
        <v>303.7964078</v>
      </c>
      <c r="G39" s="15">
        <v>405.42638069999998</v>
      </c>
      <c r="H39" s="15">
        <v>524.57537400000001</v>
      </c>
      <c r="I39" s="15">
        <v>635.58945960000005</v>
      </c>
      <c r="J39" s="15">
        <v>838.66889879999997</v>
      </c>
      <c r="K39" s="15">
        <v>738.91371019999997</v>
      </c>
      <c r="L39" s="15">
        <v>744.02557439999998</v>
      </c>
      <c r="M39" s="15">
        <v>1017.5288219</v>
      </c>
      <c r="N39" s="16">
        <f t="shared" si="3"/>
        <v>7678.022706574</v>
      </c>
    </row>
    <row r="40" spans="1:14">
      <c r="A40" s="17" t="s">
        <v>109</v>
      </c>
      <c r="B40" s="15">
        <v>62.365735700000002</v>
      </c>
      <c r="C40" s="15">
        <v>347.47160120000001</v>
      </c>
      <c r="D40" s="15">
        <v>352.19205570000003</v>
      </c>
      <c r="E40" s="15">
        <v>618.59161559999995</v>
      </c>
      <c r="F40" s="15">
        <v>299.97308129999999</v>
      </c>
      <c r="G40" s="15">
        <v>360.67321449999997</v>
      </c>
      <c r="H40" s="15">
        <v>595.86901399999999</v>
      </c>
      <c r="I40" s="15">
        <v>717.38930749999997</v>
      </c>
      <c r="J40" s="15">
        <v>1775.9366044999999</v>
      </c>
      <c r="K40" s="15">
        <v>1478.84619</v>
      </c>
      <c r="L40" s="15">
        <v>866.01488240000003</v>
      </c>
      <c r="M40" s="15">
        <v>727.93527270000004</v>
      </c>
      <c r="N40" s="16">
        <f t="shared" si="3"/>
        <v>8203.2585751000006</v>
      </c>
    </row>
    <row r="41" spans="1:14">
      <c r="A41" s="17" t="s">
        <v>110</v>
      </c>
      <c r="B41" s="15">
        <v>975.83005848740095</v>
      </c>
      <c r="C41" s="15">
        <v>681.407460865026</v>
      </c>
      <c r="D41" s="15">
        <v>826.37618810959998</v>
      </c>
      <c r="E41" s="15">
        <v>1313.1363583684199</v>
      </c>
      <c r="F41" s="15">
        <v>945.27455147540502</v>
      </c>
      <c r="G41" s="15">
        <v>1888.0131172296999</v>
      </c>
      <c r="H41" s="15">
        <v>792.89357942084996</v>
      </c>
      <c r="I41" s="15">
        <v>591.43079914600003</v>
      </c>
      <c r="J41" s="15">
        <v>944.92476746126101</v>
      </c>
      <c r="K41" s="15">
        <v>1122.3829191537</v>
      </c>
      <c r="L41" s="15">
        <v>568.23390964315001</v>
      </c>
      <c r="M41" s="15">
        <v>669.57355550249997</v>
      </c>
      <c r="N41" s="16">
        <f t="shared" si="3"/>
        <v>11319.477264863013</v>
      </c>
    </row>
    <row r="42" spans="1:14" ht="15.6">
      <c r="A42" s="19" t="s">
        <v>111</v>
      </c>
      <c r="B42" s="20">
        <f t="shared" ref="B42:N42" si="4">SUM(B31:B41)</f>
        <v>10898.146533539897</v>
      </c>
      <c r="C42" s="20">
        <f t="shared" si="4"/>
        <v>9246.0138926762265</v>
      </c>
      <c r="D42" s="20">
        <f t="shared" si="4"/>
        <v>10606.049914618578</v>
      </c>
      <c r="E42" s="20">
        <f t="shared" si="4"/>
        <v>13399.489032052841</v>
      </c>
      <c r="F42" s="20">
        <f t="shared" si="4"/>
        <v>13672.355682360347</v>
      </c>
      <c r="G42" s="20">
        <f t="shared" si="4"/>
        <v>13925.297712136604</v>
      </c>
      <c r="H42" s="20">
        <f t="shared" si="4"/>
        <v>19417.31706469454</v>
      </c>
      <c r="I42" s="20">
        <f t="shared" si="4"/>
        <v>16096.063167924185</v>
      </c>
      <c r="J42" s="20">
        <f t="shared" si="4"/>
        <v>18609.386229378069</v>
      </c>
      <c r="K42" s="20">
        <f t="shared" si="4"/>
        <v>15135.773494910491</v>
      </c>
      <c r="L42" s="20">
        <f t="shared" si="4"/>
        <v>14876.271664766769</v>
      </c>
      <c r="M42" s="20">
        <f t="shared" si="4"/>
        <v>20952.61208718234</v>
      </c>
      <c r="N42" s="20">
        <f t="shared" si="4"/>
        <v>176834.77647624086</v>
      </c>
    </row>
    <row r="43" spans="1:14" ht="15.6">
      <c r="A43" s="21" t="s">
        <v>112</v>
      </c>
      <c r="B43" s="20">
        <f>+B42+B29</f>
        <v>74207.6451562898</v>
      </c>
      <c r="C43" s="20">
        <f>+C42+C29</f>
        <v>70046.397374263426</v>
      </c>
      <c r="D43" s="20">
        <f>+D42+D29</f>
        <v>71679.348913787879</v>
      </c>
      <c r="E43" s="20">
        <f>+E42+E29</f>
        <v>72860.439470110636</v>
      </c>
      <c r="F43" s="20">
        <f>+F42+F29</f>
        <v>80983.015512993938</v>
      </c>
      <c r="G43" s="20">
        <f t="shared" ref="G43:N43" si="5">+G29+G42</f>
        <v>83035.173906576601</v>
      </c>
      <c r="H43" s="20">
        <f t="shared" si="5"/>
        <v>91471.513995553833</v>
      </c>
      <c r="I43" s="20">
        <f t="shared" si="5"/>
        <v>95105.451863192196</v>
      </c>
      <c r="J43" s="20">
        <f t="shared" si="5"/>
        <v>100380.52800837097</v>
      </c>
      <c r="K43" s="20">
        <f t="shared" si="5"/>
        <v>101828.288877698</v>
      </c>
      <c r="L43" s="20">
        <f t="shared" si="5"/>
        <v>102317.68803371426</v>
      </c>
      <c r="M43" s="20">
        <f t="shared" si="5"/>
        <v>134181.47733497733</v>
      </c>
      <c r="N43" s="20">
        <f t="shared" si="5"/>
        <v>1078096.9684475288</v>
      </c>
    </row>
    <row r="47" spans="1:14" ht="17.399999999999999">
      <c r="A47" s="55" t="s">
        <v>114</v>
      </c>
      <c r="B47" s="55"/>
      <c r="C47" s="55"/>
      <c r="D47" s="55"/>
      <c r="E47" s="55"/>
      <c r="F47" s="55"/>
      <c r="G47" s="55"/>
      <c r="H47" s="55"/>
      <c r="I47" s="55"/>
      <c r="J47" s="55"/>
      <c r="K47" s="55"/>
      <c r="L47" s="55"/>
      <c r="M47" s="55"/>
      <c r="N47" s="55"/>
    </row>
    <row r="48" spans="1:14" ht="52.2">
      <c r="A48" s="22" t="s">
        <v>84</v>
      </c>
      <c r="B48" s="23" t="s">
        <v>85</v>
      </c>
      <c r="C48" s="23" t="s">
        <v>86</v>
      </c>
      <c r="D48" s="23" t="s">
        <v>87</v>
      </c>
      <c r="E48" s="23" t="s">
        <v>88</v>
      </c>
      <c r="F48" s="23" t="s">
        <v>89</v>
      </c>
      <c r="G48" s="23" t="s">
        <v>90</v>
      </c>
      <c r="H48" s="23" t="s">
        <v>91</v>
      </c>
      <c r="I48" s="23" t="s">
        <v>92</v>
      </c>
      <c r="J48" s="23" t="s">
        <v>93</v>
      </c>
      <c r="K48" s="23" t="s">
        <v>94</v>
      </c>
      <c r="L48" s="23" t="s">
        <v>95</v>
      </c>
      <c r="M48" s="23" t="s">
        <v>96</v>
      </c>
      <c r="N48" s="23" t="s">
        <v>53</v>
      </c>
    </row>
    <row r="49" spans="1:14" ht="15.6">
      <c r="A49" s="12" t="s">
        <v>97</v>
      </c>
      <c r="B49" s="13"/>
      <c r="C49" s="13"/>
      <c r="D49" s="13"/>
      <c r="E49" s="13"/>
      <c r="F49" s="13"/>
      <c r="G49" s="13"/>
      <c r="H49" s="13"/>
      <c r="I49" s="13"/>
      <c r="J49" s="13"/>
      <c r="K49" s="13"/>
      <c r="L49" s="13"/>
      <c r="M49" s="13"/>
      <c r="N49" s="13"/>
    </row>
    <row r="50" spans="1:14" ht="15.6">
      <c r="A50" s="14" t="s">
        <v>98</v>
      </c>
      <c r="B50" s="15">
        <v>128800.06584154999</v>
      </c>
      <c r="C50" s="15">
        <v>119633.62181054099</v>
      </c>
      <c r="D50" s="15">
        <v>121897.639699565</v>
      </c>
      <c r="E50" s="15">
        <v>128755.464902629</v>
      </c>
      <c r="F50" s="15">
        <v>104567.31614182099</v>
      </c>
      <c r="G50" s="15">
        <v>95157.741525290694</v>
      </c>
      <c r="H50" s="15">
        <v>99194.385511237793</v>
      </c>
      <c r="I50" s="15">
        <v>100258.759184423</v>
      </c>
      <c r="J50" s="15">
        <v>94253.237400611397</v>
      </c>
      <c r="K50" s="15">
        <v>92441.854830099095</v>
      </c>
      <c r="L50" s="15">
        <v>85798.258921224493</v>
      </c>
      <c r="M50" s="15">
        <v>89613.478577777802</v>
      </c>
      <c r="N50" s="16">
        <f>SUM(B50:M50)</f>
        <v>1260371.8243467701</v>
      </c>
    </row>
    <row r="51" spans="1:14" ht="15.6">
      <c r="A51" s="14" t="s">
        <v>99</v>
      </c>
      <c r="B51" s="15"/>
      <c r="C51" s="15"/>
      <c r="D51" s="15"/>
      <c r="E51" s="15"/>
      <c r="F51" s="15"/>
      <c r="G51" s="15"/>
      <c r="H51" s="15"/>
      <c r="I51" s="15"/>
      <c r="J51" s="15"/>
      <c r="K51" s="15"/>
      <c r="L51" s="15"/>
      <c r="M51" s="15"/>
      <c r="N51" s="16"/>
    </row>
    <row r="52" spans="1:14">
      <c r="A52" s="17" t="s">
        <v>100</v>
      </c>
      <c r="B52" s="15">
        <v>11742.6722472328</v>
      </c>
      <c r="C52" s="15">
        <v>9255.4509678078794</v>
      </c>
      <c r="D52" s="15">
        <v>7620.4483035542498</v>
      </c>
      <c r="E52" s="15">
        <v>8397.3696571986893</v>
      </c>
      <c r="F52" s="15">
        <v>8569.8646196002192</v>
      </c>
      <c r="G52" s="15">
        <v>7569.7402564206004</v>
      </c>
      <c r="H52" s="15">
        <v>6864.8739168871798</v>
      </c>
      <c r="I52" s="15">
        <v>9211.2181791365401</v>
      </c>
      <c r="J52" s="15">
        <v>9489.0788646328892</v>
      </c>
      <c r="K52" s="15">
        <v>8825.4002814885007</v>
      </c>
      <c r="L52" s="15">
        <v>10878.4309684649</v>
      </c>
      <c r="M52" s="15">
        <v>8766.6197781921292</v>
      </c>
      <c r="N52" s="16">
        <f t="shared" ref="N52:N62" si="6">SUM(B52:M52)</f>
        <v>107191.16804061658</v>
      </c>
    </row>
    <row r="53" spans="1:14">
      <c r="A53" s="18" t="s">
        <v>101</v>
      </c>
      <c r="B53" s="15">
        <v>0</v>
      </c>
      <c r="C53" s="15">
        <v>314.45059559999999</v>
      </c>
      <c r="D53" s="15">
        <v>1620.7635287737</v>
      </c>
      <c r="E53" s="15">
        <v>619.84080128863002</v>
      </c>
      <c r="F53" s="15">
        <v>0.13690740000000001</v>
      </c>
      <c r="G53" s="15">
        <v>1395.2888663219801</v>
      </c>
      <c r="H53" s="15">
        <v>2433.86295385003</v>
      </c>
      <c r="I53" s="15">
        <v>1620.1603982408701</v>
      </c>
      <c r="J53" s="15">
        <v>841.67997008510099</v>
      </c>
      <c r="K53" s="15">
        <v>0.27136270000000001</v>
      </c>
      <c r="L53" s="15">
        <v>0</v>
      </c>
      <c r="M53" s="15">
        <v>0</v>
      </c>
      <c r="N53" s="16">
        <f t="shared" si="6"/>
        <v>8846.4553842603109</v>
      </c>
    </row>
    <row r="54" spans="1:14">
      <c r="A54" s="17" t="s">
        <v>102</v>
      </c>
      <c r="B54" s="15">
        <v>241.16155640693901</v>
      </c>
      <c r="C54" s="15">
        <v>260.22226879999999</v>
      </c>
      <c r="D54" s="15">
        <v>13.8681977</v>
      </c>
      <c r="E54" s="15">
        <v>924.00606524437399</v>
      </c>
      <c r="F54" s="15">
        <v>475.247839133323</v>
      </c>
      <c r="G54" s="15">
        <v>355.42525569124098</v>
      </c>
      <c r="H54" s="15">
        <v>636.94037275343999</v>
      </c>
      <c r="I54" s="15">
        <v>173.61043654514</v>
      </c>
      <c r="J54" s="15">
        <v>388.054502385891</v>
      </c>
      <c r="K54" s="15">
        <v>184.14577871546899</v>
      </c>
      <c r="L54" s="15">
        <v>687.09829004569303</v>
      </c>
      <c r="M54" s="15">
        <v>441.55077978299198</v>
      </c>
      <c r="N54" s="16">
        <f t="shared" si="6"/>
        <v>4781.3313432045024</v>
      </c>
    </row>
    <row r="55" spans="1:14">
      <c r="A55" s="17" t="s">
        <v>103</v>
      </c>
      <c r="B55" s="15">
        <v>0</v>
      </c>
      <c r="C55" s="15">
        <v>1.3424999999999999E-3</v>
      </c>
      <c r="D55" s="15">
        <v>0</v>
      </c>
      <c r="E55" s="15">
        <v>0</v>
      </c>
      <c r="F55" s="15">
        <v>0</v>
      </c>
      <c r="G55" s="15">
        <v>0</v>
      </c>
      <c r="H55" s="15">
        <v>0</v>
      </c>
      <c r="I55" s="15">
        <v>0</v>
      </c>
      <c r="J55" s="15">
        <v>0</v>
      </c>
      <c r="K55" s="15">
        <v>0</v>
      </c>
      <c r="L55" s="15">
        <v>0</v>
      </c>
      <c r="M55" s="15">
        <v>0</v>
      </c>
      <c r="N55" s="16">
        <f t="shared" si="6"/>
        <v>1.3424999999999999E-3</v>
      </c>
    </row>
    <row r="56" spans="1:14">
      <c r="A56" s="18" t="s">
        <v>104</v>
      </c>
      <c r="B56" s="15">
        <v>0</v>
      </c>
      <c r="C56" s="15">
        <v>0</v>
      </c>
      <c r="D56" s="15">
        <v>0</v>
      </c>
      <c r="E56" s="15">
        <v>0</v>
      </c>
      <c r="F56" s="15">
        <v>0</v>
      </c>
      <c r="G56" s="15">
        <v>0</v>
      </c>
      <c r="H56" s="15">
        <v>0</v>
      </c>
      <c r="I56" s="15">
        <v>0</v>
      </c>
      <c r="J56" s="15">
        <v>0</v>
      </c>
      <c r="K56" s="15">
        <v>0</v>
      </c>
      <c r="L56" s="15">
        <v>0</v>
      </c>
      <c r="M56" s="15">
        <v>0</v>
      </c>
      <c r="N56" s="16">
        <f t="shared" si="6"/>
        <v>0</v>
      </c>
    </row>
    <row r="57" spans="1:14">
      <c r="A57" s="17" t="s">
        <v>105</v>
      </c>
      <c r="B57" s="15">
        <v>22.398762600000001</v>
      </c>
      <c r="C57" s="15">
        <v>102.7777177</v>
      </c>
      <c r="D57" s="15">
        <v>1530.43044130404</v>
      </c>
      <c r="E57" s="15">
        <v>1432.4401845096299</v>
      </c>
      <c r="F57" s="15">
        <v>86.037710099999998</v>
      </c>
      <c r="G57" s="15">
        <v>14.5286481</v>
      </c>
      <c r="H57" s="15">
        <v>91.965750099999994</v>
      </c>
      <c r="I57" s="15">
        <v>66.538544400000006</v>
      </c>
      <c r="J57" s="15">
        <v>118.0504272</v>
      </c>
      <c r="K57" s="15">
        <v>45.498867500000003</v>
      </c>
      <c r="L57" s="15">
        <v>43.608898799999999</v>
      </c>
      <c r="M57" s="15">
        <v>29.765529900000001</v>
      </c>
      <c r="N57" s="16">
        <f t="shared" si="6"/>
        <v>3584.0414822136695</v>
      </c>
    </row>
    <row r="58" spans="1:14">
      <c r="A58" s="17" t="s">
        <v>106</v>
      </c>
      <c r="B58" s="15">
        <v>1591.0748130468801</v>
      </c>
      <c r="C58" s="15">
        <v>1680.77042032804</v>
      </c>
      <c r="D58" s="15">
        <v>1579.9280141409999</v>
      </c>
      <c r="E58" s="15">
        <v>2086.7114794515001</v>
      </c>
      <c r="F58" s="15">
        <v>1616.93158674644</v>
      </c>
      <c r="G58" s="15">
        <v>1282.3926035</v>
      </c>
      <c r="H58" s="15">
        <v>1887.50937228665</v>
      </c>
      <c r="I58" s="15">
        <v>1420.5142739686301</v>
      </c>
      <c r="J58" s="15">
        <v>1204.49943485943</v>
      </c>
      <c r="K58" s="15">
        <v>1183.3529668931101</v>
      </c>
      <c r="L58" s="15">
        <v>1514.6666808505699</v>
      </c>
      <c r="M58" s="15">
        <v>1401.01589586929</v>
      </c>
      <c r="N58" s="16">
        <f t="shared" si="6"/>
        <v>18449.367541941538</v>
      </c>
    </row>
    <row r="59" spans="1:14">
      <c r="A59" s="17" t="s">
        <v>107</v>
      </c>
      <c r="B59" s="15">
        <v>5016.0752875560902</v>
      </c>
      <c r="C59" s="15">
        <v>2519.2737246841202</v>
      </c>
      <c r="D59" s="15">
        <v>3067.6492610299601</v>
      </c>
      <c r="E59" s="15">
        <v>3545.66875573476</v>
      </c>
      <c r="F59" s="15">
        <v>2952.61007367928</v>
      </c>
      <c r="G59" s="15">
        <v>2178.9693399896501</v>
      </c>
      <c r="H59" s="15">
        <v>2472.8858547682498</v>
      </c>
      <c r="I59" s="15">
        <v>2037.89828896722</v>
      </c>
      <c r="J59" s="15">
        <v>2952.31156808381</v>
      </c>
      <c r="K59" s="15">
        <v>2764.7976744316902</v>
      </c>
      <c r="L59" s="15">
        <v>1893.73006313884</v>
      </c>
      <c r="M59" s="15">
        <v>2072.37597622164</v>
      </c>
      <c r="N59" s="16">
        <f t="shared" si="6"/>
        <v>33474.24586828531</v>
      </c>
    </row>
    <row r="60" spans="1:14">
      <c r="A60" s="17" t="s">
        <v>108</v>
      </c>
      <c r="B60" s="15">
        <v>1047.5565343999999</v>
      </c>
      <c r="C60" s="15">
        <v>1020.9421413</v>
      </c>
      <c r="D60" s="15">
        <v>804.34877879999999</v>
      </c>
      <c r="E60" s="15">
        <v>451.78709220000002</v>
      </c>
      <c r="F60" s="15">
        <v>236.9131816</v>
      </c>
      <c r="G60" s="15">
        <v>394.69967650000001</v>
      </c>
      <c r="H60" s="15">
        <v>773.57191999999998</v>
      </c>
      <c r="I60" s="15">
        <v>1105.43844078456</v>
      </c>
      <c r="J60" s="15">
        <v>1021.8654855</v>
      </c>
      <c r="K60" s="15">
        <v>914.54584929999999</v>
      </c>
      <c r="L60" s="15">
        <v>986.62271829999997</v>
      </c>
      <c r="M60" s="15">
        <v>1186.7844415</v>
      </c>
      <c r="N60" s="16">
        <f t="shared" si="6"/>
        <v>9945.0762601845599</v>
      </c>
    </row>
    <row r="61" spans="1:14">
      <c r="A61" s="17" t="s">
        <v>109</v>
      </c>
      <c r="B61" s="15">
        <v>1704.7948859000001</v>
      </c>
      <c r="C61" s="15">
        <v>1675.7071335999999</v>
      </c>
      <c r="D61" s="15">
        <v>1461.5899388</v>
      </c>
      <c r="E61" s="15">
        <v>1787.0968664</v>
      </c>
      <c r="F61" s="15">
        <v>1351.0164373</v>
      </c>
      <c r="G61" s="15">
        <v>1020.8874269</v>
      </c>
      <c r="H61" s="15">
        <v>1587.7222273</v>
      </c>
      <c r="I61" s="15">
        <v>1709.9420129</v>
      </c>
      <c r="J61" s="15">
        <v>971.62531609999996</v>
      </c>
      <c r="K61" s="15">
        <v>1356.0311655999999</v>
      </c>
      <c r="L61" s="15">
        <v>1351.3822379000001</v>
      </c>
      <c r="M61" s="15">
        <v>2179.5632885</v>
      </c>
      <c r="N61" s="16">
        <f t="shared" si="6"/>
        <v>18157.358937199999</v>
      </c>
    </row>
    <row r="62" spans="1:14">
      <c r="A62" s="17" t="s">
        <v>110</v>
      </c>
      <c r="B62" s="15">
        <v>1091.9774634221201</v>
      </c>
      <c r="C62" s="15">
        <v>1318.3055674054699</v>
      </c>
      <c r="D62" s="15">
        <v>765.33193275616998</v>
      </c>
      <c r="E62" s="15">
        <v>618.96919158416802</v>
      </c>
      <c r="F62" s="15">
        <v>1120.1187033895101</v>
      </c>
      <c r="G62" s="15">
        <v>646.207443284487</v>
      </c>
      <c r="H62" s="15">
        <v>604.47946250035602</v>
      </c>
      <c r="I62" s="15">
        <v>673.19644197512002</v>
      </c>
      <c r="J62" s="15">
        <v>855.07457396648101</v>
      </c>
      <c r="K62" s="15">
        <v>1177.06645691121</v>
      </c>
      <c r="L62" s="15">
        <v>589.70741381903497</v>
      </c>
      <c r="M62" s="15">
        <v>1964.50724786346</v>
      </c>
      <c r="N62" s="16">
        <f t="shared" si="6"/>
        <v>11424.941898877585</v>
      </c>
    </row>
    <row r="63" spans="1:14" ht="15.6">
      <c r="A63" s="19" t="s">
        <v>111</v>
      </c>
      <c r="B63" s="20">
        <f t="shared" ref="B63:N63" si="7">SUM(B52:B62)</f>
        <v>22457.711550564829</v>
      </c>
      <c r="C63" s="20">
        <f t="shared" si="7"/>
        <v>18147.901879725508</v>
      </c>
      <c r="D63" s="20">
        <f t="shared" si="7"/>
        <v>18464.358396859119</v>
      </c>
      <c r="E63" s="20">
        <f t="shared" si="7"/>
        <v>19863.890093611753</v>
      </c>
      <c r="F63" s="20">
        <f t="shared" si="7"/>
        <v>16408.877058948772</v>
      </c>
      <c r="G63" s="20">
        <f t="shared" si="7"/>
        <v>14858.139516707961</v>
      </c>
      <c r="H63" s="20">
        <f t="shared" si="7"/>
        <v>17353.811830445906</v>
      </c>
      <c r="I63" s="20">
        <f t="shared" si="7"/>
        <v>18018.517016918082</v>
      </c>
      <c r="J63" s="20">
        <f t="shared" si="7"/>
        <v>17842.240142813604</v>
      </c>
      <c r="K63" s="20">
        <f t="shared" si="7"/>
        <v>16451.11040353998</v>
      </c>
      <c r="L63" s="20">
        <f t="shared" si="7"/>
        <v>17945.24727131904</v>
      </c>
      <c r="M63" s="20">
        <f t="shared" si="7"/>
        <v>18042.182937829512</v>
      </c>
      <c r="N63" s="20">
        <f t="shared" si="7"/>
        <v>215853.98809928403</v>
      </c>
    </row>
    <row r="64" spans="1:14" ht="15.6">
      <c r="A64" s="21" t="s">
        <v>112</v>
      </c>
      <c r="B64" s="20">
        <f>+B63+B50</f>
        <v>151257.77739211483</v>
      </c>
      <c r="C64" s="20">
        <f>+C63+C50</f>
        <v>137781.52369026651</v>
      </c>
      <c r="D64" s="20">
        <f>+D63+D50</f>
        <v>140361.99809642413</v>
      </c>
      <c r="E64" s="20">
        <f>+E63+E50</f>
        <v>148619.35499624076</v>
      </c>
      <c r="F64" s="20">
        <f>+F63+F50</f>
        <v>120976.19320076976</v>
      </c>
      <c r="G64" s="20">
        <f t="shared" ref="G64:N64" si="8">+G50+G63</f>
        <v>110015.88104199865</v>
      </c>
      <c r="H64" s="20">
        <f t="shared" si="8"/>
        <v>116548.1973416837</v>
      </c>
      <c r="I64" s="20">
        <f t="shared" si="8"/>
        <v>118277.27620134108</v>
      </c>
      <c r="J64" s="20">
        <f t="shared" si="8"/>
        <v>112095.477543425</v>
      </c>
      <c r="K64" s="20">
        <f t="shared" si="8"/>
        <v>108892.96523363907</v>
      </c>
      <c r="L64" s="20">
        <f t="shared" si="8"/>
        <v>103743.50619254353</v>
      </c>
      <c r="M64" s="20">
        <f t="shared" si="8"/>
        <v>107655.66151560731</v>
      </c>
      <c r="N64" s="20">
        <f t="shared" si="8"/>
        <v>1476225.8124460541</v>
      </c>
    </row>
    <row r="67" spans="1:14" ht="17.399999999999999">
      <c r="A67" s="55" t="s">
        <v>115</v>
      </c>
      <c r="B67" s="55"/>
      <c r="C67" s="55"/>
      <c r="D67" s="55"/>
      <c r="E67" s="55"/>
      <c r="F67" s="55"/>
      <c r="G67" s="55"/>
      <c r="H67" s="55"/>
      <c r="I67" s="55"/>
      <c r="J67" s="55"/>
      <c r="K67" s="55"/>
      <c r="L67" s="55"/>
      <c r="M67" s="55"/>
      <c r="N67" s="55"/>
    </row>
    <row r="68" spans="1:14" ht="52.2">
      <c r="A68" s="22" t="s">
        <v>84</v>
      </c>
      <c r="B68" s="23" t="s">
        <v>85</v>
      </c>
      <c r="C68" s="23" t="s">
        <v>86</v>
      </c>
      <c r="D68" s="23" t="s">
        <v>87</v>
      </c>
      <c r="E68" s="23" t="s">
        <v>88</v>
      </c>
      <c r="F68" s="23" t="s">
        <v>89</v>
      </c>
      <c r="G68" s="23" t="s">
        <v>90</v>
      </c>
      <c r="H68" s="23" t="s">
        <v>91</v>
      </c>
      <c r="I68" s="23" t="s">
        <v>92</v>
      </c>
      <c r="J68" s="23" t="s">
        <v>93</v>
      </c>
      <c r="K68" s="23" t="s">
        <v>94</v>
      </c>
      <c r="L68" s="23" t="s">
        <v>95</v>
      </c>
      <c r="M68" s="23" t="s">
        <v>96</v>
      </c>
      <c r="N68" s="23" t="s">
        <v>53</v>
      </c>
    </row>
    <row r="69" spans="1:14" ht="15.6">
      <c r="A69" s="12" t="s">
        <v>97</v>
      </c>
      <c r="B69" s="13"/>
      <c r="C69" s="13"/>
      <c r="D69" s="13"/>
      <c r="E69" s="13"/>
      <c r="F69" s="13"/>
      <c r="G69" s="13"/>
      <c r="H69" s="13"/>
      <c r="I69" s="13"/>
      <c r="J69" s="13"/>
      <c r="K69" s="13"/>
      <c r="L69" s="13"/>
      <c r="M69" s="13"/>
      <c r="N69" s="13"/>
    </row>
    <row r="70" spans="1:14" ht="15.6">
      <c r="A70" s="14" t="s">
        <v>98</v>
      </c>
      <c r="B70" s="15">
        <v>89110.692374873193</v>
      </c>
      <c r="C70" s="15">
        <v>87422.236418291999</v>
      </c>
      <c r="D70" s="15">
        <v>82585.737886446601</v>
      </c>
      <c r="E70" s="15">
        <v>85313.440252868793</v>
      </c>
      <c r="F70" s="15">
        <v>90474.402136683595</v>
      </c>
      <c r="G70" s="15">
        <v>90511.649591366702</v>
      </c>
      <c r="H70" s="15">
        <v>98750.371797357002</v>
      </c>
      <c r="I70" s="15">
        <v>95369.316701175499</v>
      </c>
      <c r="J70" s="15">
        <v>94758.833036083699</v>
      </c>
      <c r="K70" s="15">
        <v>101436.000144005</v>
      </c>
      <c r="L70" s="15">
        <v>84496.994328354005</v>
      </c>
      <c r="M70" s="15">
        <v>100359.03501725401</v>
      </c>
      <c r="N70" s="16">
        <f>SUM(B70:M70)</f>
        <v>1100588.7096847601</v>
      </c>
    </row>
    <row r="71" spans="1:14" ht="15.6">
      <c r="A71" s="14" t="s">
        <v>99</v>
      </c>
      <c r="B71" s="15"/>
      <c r="C71" s="15"/>
      <c r="D71" s="15"/>
      <c r="E71" s="15"/>
      <c r="F71" s="15"/>
      <c r="G71" s="15"/>
      <c r="H71" s="15"/>
      <c r="I71" s="15"/>
      <c r="J71" s="15"/>
      <c r="K71" s="15"/>
      <c r="L71" s="15"/>
      <c r="M71" s="15"/>
      <c r="N71" s="16"/>
    </row>
    <row r="72" spans="1:14">
      <c r="A72" s="17" t="s">
        <v>100</v>
      </c>
      <c r="B72" s="15">
        <v>4871.5073426235003</v>
      </c>
      <c r="C72" s="15">
        <v>6774.1104015226001</v>
      </c>
      <c r="D72" s="15">
        <v>5092.6810064478004</v>
      </c>
      <c r="E72" s="15">
        <v>4656.2439867210996</v>
      </c>
      <c r="F72" s="15">
        <v>6081.1942952755999</v>
      </c>
      <c r="G72" s="15">
        <v>7365.978903878</v>
      </c>
      <c r="H72" s="15">
        <v>9655.0836612864005</v>
      </c>
      <c r="I72" s="15">
        <v>8835.5401819321996</v>
      </c>
      <c r="J72" s="15">
        <v>8051.0634352610996</v>
      </c>
      <c r="K72" s="15">
        <v>8365.8748448225997</v>
      </c>
      <c r="L72" s="15">
        <v>9153.5374162126991</v>
      </c>
      <c r="M72" s="15">
        <v>8241.3075735322</v>
      </c>
      <c r="N72" s="16">
        <f t="shared" ref="N72:N82" si="9">SUM(B72:M72)</f>
        <v>87144.123049515809</v>
      </c>
    </row>
    <row r="73" spans="1:14">
      <c r="A73" s="18" t="s">
        <v>101</v>
      </c>
      <c r="B73" s="15">
        <v>0.15835949999999999</v>
      </c>
      <c r="C73" s="15">
        <v>0.24027490000000001</v>
      </c>
      <c r="D73" s="15">
        <v>979.56185334630004</v>
      </c>
      <c r="E73" s="15">
        <v>0</v>
      </c>
      <c r="F73" s="15">
        <v>1216.8314762003999</v>
      </c>
      <c r="G73" s="15">
        <v>1256.8283751792001</v>
      </c>
      <c r="H73" s="15">
        <v>1515.9451618532</v>
      </c>
      <c r="I73" s="15">
        <v>524.27633790000004</v>
      </c>
      <c r="J73" s="15">
        <v>0</v>
      </c>
      <c r="K73" s="15">
        <v>0</v>
      </c>
      <c r="L73" s="15">
        <v>5.3502099999999997E-2</v>
      </c>
      <c r="M73" s="15">
        <v>0.25175150000000002</v>
      </c>
      <c r="N73" s="16">
        <f t="shared" si="9"/>
        <v>5494.1470924790992</v>
      </c>
    </row>
    <row r="74" spans="1:14">
      <c r="A74" s="17" t="s">
        <v>102</v>
      </c>
      <c r="B74" s="15">
        <v>314.18101910000001</v>
      </c>
      <c r="C74" s="15">
        <v>328.08666746536397</v>
      </c>
      <c r="D74" s="15">
        <v>872.95072858390802</v>
      </c>
      <c r="E74" s="15">
        <v>308.254313482513</v>
      </c>
      <c r="F74" s="15">
        <v>589.84960349999994</v>
      </c>
      <c r="G74" s="15">
        <v>893.08025212780899</v>
      </c>
      <c r="H74" s="15">
        <v>1420.6216784738799</v>
      </c>
      <c r="I74" s="15">
        <v>632.23722976742101</v>
      </c>
      <c r="J74" s="15">
        <v>1119.6272750190899</v>
      </c>
      <c r="K74" s="15">
        <v>313.02945949999997</v>
      </c>
      <c r="L74" s="15">
        <v>9.7971567000000004</v>
      </c>
      <c r="M74" s="15">
        <v>9.5032002999999996</v>
      </c>
      <c r="N74" s="16">
        <f t="shared" si="9"/>
        <v>6811.2185840199845</v>
      </c>
    </row>
    <row r="75" spans="1:14">
      <c r="A75" s="17" t="s">
        <v>103</v>
      </c>
      <c r="B75" s="15">
        <v>0</v>
      </c>
      <c r="C75" s="15">
        <v>0</v>
      </c>
      <c r="D75" s="15">
        <v>0</v>
      </c>
      <c r="E75" s="15">
        <v>0</v>
      </c>
      <c r="F75" s="15">
        <v>2.5903200000000001E-2</v>
      </c>
      <c r="G75" s="15">
        <v>0</v>
      </c>
      <c r="H75" s="15">
        <v>0</v>
      </c>
      <c r="I75" s="15">
        <v>0</v>
      </c>
      <c r="J75" s="15">
        <v>0</v>
      </c>
      <c r="K75" s="15">
        <v>0</v>
      </c>
      <c r="L75" s="15">
        <v>0</v>
      </c>
      <c r="M75" s="15">
        <v>0</v>
      </c>
      <c r="N75" s="16">
        <f t="shared" si="9"/>
        <v>2.5903200000000001E-2</v>
      </c>
    </row>
    <row r="76" spans="1:14">
      <c r="A76" s="18" t="s">
        <v>104</v>
      </c>
      <c r="B76" s="15">
        <v>0</v>
      </c>
      <c r="C76" s="15">
        <v>0</v>
      </c>
      <c r="D76" s="15">
        <v>0</v>
      </c>
      <c r="E76" s="15">
        <v>0</v>
      </c>
      <c r="F76" s="15">
        <v>0</v>
      </c>
      <c r="G76" s="15">
        <v>0</v>
      </c>
      <c r="H76" s="15">
        <v>0</v>
      </c>
      <c r="I76" s="15">
        <v>0</v>
      </c>
      <c r="J76" s="15">
        <v>0</v>
      </c>
      <c r="K76" s="15">
        <v>0</v>
      </c>
      <c r="L76" s="15">
        <v>0</v>
      </c>
      <c r="M76" s="15">
        <v>0</v>
      </c>
      <c r="N76" s="16">
        <f t="shared" si="9"/>
        <v>0</v>
      </c>
    </row>
    <row r="77" spans="1:14">
      <c r="A77" s="17" t="s">
        <v>105</v>
      </c>
      <c r="B77" s="15">
        <v>16.787954899999999</v>
      </c>
      <c r="C77" s="15">
        <v>12.9058855</v>
      </c>
      <c r="D77" s="15">
        <v>4.1291321999999999</v>
      </c>
      <c r="E77" s="15">
        <v>7.4027840999999999</v>
      </c>
      <c r="F77" s="15">
        <v>33.618474900000002</v>
      </c>
      <c r="G77" s="15">
        <v>40.896521</v>
      </c>
      <c r="H77" s="15">
        <v>29.2677838</v>
      </c>
      <c r="I77" s="15">
        <v>11.7419125</v>
      </c>
      <c r="J77" s="15">
        <v>22.415136700000001</v>
      </c>
      <c r="K77" s="15">
        <v>15.4161679</v>
      </c>
      <c r="L77" s="15">
        <v>87.659050100000002</v>
      </c>
      <c r="M77" s="15">
        <v>32.316515500000001</v>
      </c>
      <c r="N77" s="16">
        <f t="shared" si="9"/>
        <v>314.55731910000003</v>
      </c>
    </row>
    <row r="78" spans="1:14">
      <c r="A78" s="17" t="s">
        <v>106</v>
      </c>
      <c r="B78" s="15">
        <v>1341.6351694</v>
      </c>
      <c r="C78" s="15">
        <v>1752.2227158254</v>
      </c>
      <c r="D78" s="15">
        <v>1415.1051791169</v>
      </c>
      <c r="E78" s="15">
        <v>2124.3172310512</v>
      </c>
      <c r="F78" s="15">
        <v>1188.8283773000001</v>
      </c>
      <c r="G78" s="15">
        <v>1504.9079455999999</v>
      </c>
      <c r="H78" s="15">
        <v>1501.2236476999999</v>
      </c>
      <c r="I78" s="15">
        <v>1875.3336008000001</v>
      </c>
      <c r="J78" s="15">
        <v>2035.9045762000001</v>
      </c>
      <c r="K78" s="15">
        <v>1489.9120723999999</v>
      </c>
      <c r="L78" s="15">
        <v>1576.9563118999999</v>
      </c>
      <c r="M78" s="15">
        <v>1239.1436002</v>
      </c>
      <c r="N78" s="16">
        <f t="shared" si="9"/>
        <v>19045.490427493503</v>
      </c>
    </row>
    <row r="79" spans="1:14">
      <c r="A79" s="17" t="s">
        <v>107</v>
      </c>
      <c r="B79" s="15">
        <v>2256.11956644171</v>
      </c>
      <c r="C79" s="15">
        <v>2331.47786994136</v>
      </c>
      <c r="D79" s="15">
        <v>2330.64859030043</v>
      </c>
      <c r="E79" s="15">
        <v>2394.0693252317501</v>
      </c>
      <c r="F79" s="15">
        <v>2995.7638413934501</v>
      </c>
      <c r="G79" s="15">
        <v>3505.1173782491801</v>
      </c>
      <c r="H79" s="15">
        <v>3223.3164024947</v>
      </c>
      <c r="I79" s="15">
        <v>3496.4560686862101</v>
      </c>
      <c r="J79" s="15">
        <v>2642.2472749776198</v>
      </c>
      <c r="K79" s="15">
        <v>2709.2959331425</v>
      </c>
      <c r="L79" s="15">
        <v>3142.83151901575</v>
      </c>
      <c r="M79" s="15">
        <v>2641.9120576945102</v>
      </c>
      <c r="N79" s="16">
        <f t="shared" si="9"/>
        <v>33669.255827569177</v>
      </c>
    </row>
    <row r="80" spans="1:14">
      <c r="A80" s="17" t="s">
        <v>108</v>
      </c>
      <c r="B80" s="15">
        <v>1254.2943135999999</v>
      </c>
      <c r="C80" s="15">
        <v>1271.0721713</v>
      </c>
      <c r="D80" s="15">
        <v>816.24115219999999</v>
      </c>
      <c r="E80" s="15">
        <v>754.97285309999995</v>
      </c>
      <c r="F80" s="15">
        <v>939.23046009999996</v>
      </c>
      <c r="G80" s="15">
        <v>736.09487850000005</v>
      </c>
      <c r="H80" s="15">
        <v>949.37343669999996</v>
      </c>
      <c r="I80" s="15">
        <v>780.42391550000002</v>
      </c>
      <c r="J80" s="15">
        <v>780.75261309999996</v>
      </c>
      <c r="K80" s="15">
        <v>753.02781040000002</v>
      </c>
      <c r="L80" s="15">
        <v>769.0363145</v>
      </c>
      <c r="M80" s="15">
        <v>1033.8796425999999</v>
      </c>
      <c r="N80" s="16">
        <f t="shared" si="9"/>
        <v>10838.399561599999</v>
      </c>
    </row>
    <row r="81" spans="1:14">
      <c r="A81" s="17" t="s">
        <v>109</v>
      </c>
      <c r="B81" s="15">
        <v>1125.8523439999999</v>
      </c>
      <c r="C81" s="15">
        <v>1665.7361587</v>
      </c>
      <c r="D81" s="15">
        <v>970.4354922</v>
      </c>
      <c r="E81" s="15">
        <v>1122.6024600000001</v>
      </c>
      <c r="F81" s="15">
        <v>1378.9852817000001</v>
      </c>
      <c r="G81" s="15">
        <v>946.69997420000004</v>
      </c>
      <c r="H81" s="15">
        <v>1060.9814322</v>
      </c>
      <c r="I81" s="15">
        <v>779.41623279999999</v>
      </c>
      <c r="J81" s="15">
        <v>1248.543193</v>
      </c>
      <c r="K81" s="15">
        <v>865.62167209999996</v>
      </c>
      <c r="L81" s="15">
        <v>1599.4339852000001</v>
      </c>
      <c r="M81" s="15">
        <v>1545.2851410000001</v>
      </c>
      <c r="N81" s="16">
        <f t="shared" si="9"/>
        <v>14309.593367099998</v>
      </c>
    </row>
    <row r="82" spans="1:14">
      <c r="A82" s="17" t="s">
        <v>110</v>
      </c>
      <c r="B82" s="15">
        <v>1159.4256045</v>
      </c>
      <c r="C82" s="15">
        <v>1815.1401167424201</v>
      </c>
      <c r="D82" s="15">
        <v>1286.94541332002</v>
      </c>
      <c r="E82" s="15">
        <v>1600.38596662397</v>
      </c>
      <c r="F82" s="15">
        <v>1676.6871959554501</v>
      </c>
      <c r="G82" s="15">
        <v>704.50088579999999</v>
      </c>
      <c r="H82" s="15">
        <v>778.56544469999994</v>
      </c>
      <c r="I82" s="15">
        <v>918.09031089999996</v>
      </c>
      <c r="J82" s="15">
        <v>956.98786940000002</v>
      </c>
      <c r="K82" s="15">
        <v>929.92731567650003</v>
      </c>
      <c r="L82" s="15">
        <v>750.37194022100005</v>
      </c>
      <c r="M82" s="15">
        <v>710.59719516087102</v>
      </c>
      <c r="N82" s="16">
        <f t="shared" si="9"/>
        <v>13287.625259000231</v>
      </c>
    </row>
    <row r="83" spans="1:14" ht="15.6">
      <c r="A83" s="19" t="s">
        <v>111</v>
      </c>
      <c r="B83" s="20">
        <f t="shared" ref="B83:N83" si="10">SUM(B72:B82)</f>
        <v>12339.961674065209</v>
      </c>
      <c r="C83" s="20">
        <f t="shared" si="10"/>
        <v>15950.992261897147</v>
      </c>
      <c r="D83" s="20">
        <f t="shared" si="10"/>
        <v>13768.698547715359</v>
      </c>
      <c r="E83" s="20">
        <f t="shared" si="10"/>
        <v>12968.248920310532</v>
      </c>
      <c r="F83" s="20">
        <f t="shared" si="10"/>
        <v>16101.014909524898</v>
      </c>
      <c r="G83" s="20">
        <f t="shared" si="10"/>
        <v>16954.105114534192</v>
      </c>
      <c r="H83" s="20">
        <f t="shared" si="10"/>
        <v>20134.378649208178</v>
      </c>
      <c r="I83" s="20">
        <f t="shared" si="10"/>
        <v>17853.51579078583</v>
      </c>
      <c r="J83" s="20">
        <f t="shared" si="10"/>
        <v>16857.541373657808</v>
      </c>
      <c r="K83" s="20">
        <f t="shared" si="10"/>
        <v>15442.1052759416</v>
      </c>
      <c r="L83" s="20">
        <f t="shared" si="10"/>
        <v>17089.677195949447</v>
      </c>
      <c r="M83" s="20">
        <f t="shared" si="10"/>
        <v>15454.196677487582</v>
      </c>
      <c r="N83" s="20">
        <f t="shared" si="10"/>
        <v>190914.43639107779</v>
      </c>
    </row>
    <row r="84" spans="1:14" ht="15.6">
      <c r="A84" s="21" t="s">
        <v>112</v>
      </c>
      <c r="B84" s="20">
        <f>+B83+B70</f>
        <v>101450.65404893841</v>
      </c>
      <c r="C84" s="20">
        <f>+C83+C70</f>
        <v>103373.22868018915</v>
      </c>
      <c r="D84" s="20">
        <f>+D83+D70</f>
        <v>96354.436434161966</v>
      </c>
      <c r="E84" s="20">
        <f>+E83+E70</f>
        <v>98281.689173179329</v>
      </c>
      <c r="F84" s="20">
        <f>+F83+F70</f>
        <v>106575.41704620849</v>
      </c>
      <c r="G84" s="20">
        <f t="shared" ref="G84:N84" si="11">+G70+G83</f>
        <v>107465.75470590089</v>
      </c>
      <c r="H84" s="20">
        <f t="shared" si="11"/>
        <v>118884.75044656519</v>
      </c>
      <c r="I84" s="20">
        <f t="shared" si="11"/>
        <v>113222.83249196134</v>
      </c>
      <c r="J84" s="20">
        <f t="shared" si="11"/>
        <v>111616.3744097415</v>
      </c>
      <c r="K84" s="20">
        <f t="shared" si="11"/>
        <v>116878.1054199466</v>
      </c>
      <c r="L84" s="20">
        <f t="shared" si="11"/>
        <v>101586.67152430346</v>
      </c>
      <c r="M84" s="20">
        <f t="shared" si="11"/>
        <v>115813.23169474158</v>
      </c>
      <c r="N84" s="20">
        <f t="shared" si="11"/>
        <v>1291503.1460758378</v>
      </c>
    </row>
  </sheetData>
  <mergeCells count="5">
    <mergeCell ref="A2:M2"/>
    <mergeCell ref="A4:N4"/>
    <mergeCell ref="A26:N26"/>
    <mergeCell ref="A47:N47"/>
    <mergeCell ref="A67:N6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3A3-DD3C-4BA4-8F48-74A2C6F70675}">
  <dimension ref="A3:AR34"/>
  <sheetViews>
    <sheetView workbookViewId="0">
      <selection activeCell="AY16" sqref="AY16"/>
    </sheetView>
  </sheetViews>
  <sheetFormatPr defaultColWidth="9" defaultRowHeight="14.4"/>
  <cols>
    <col min="1" max="1" width="14.109375" customWidth="1"/>
    <col min="2" max="2" width="24.77734375" customWidth="1"/>
    <col min="41" max="41" width="17.5546875" customWidth="1"/>
    <col min="42" max="42" width="20.77734375" customWidth="1"/>
    <col min="43" max="43" width="18.6640625" customWidth="1"/>
    <col min="44" max="44" width="15.109375" customWidth="1"/>
  </cols>
  <sheetData>
    <row r="3" spans="1:44">
      <c r="A3" s="53" t="s">
        <v>116</v>
      </c>
      <c r="B3" s="53"/>
    </row>
    <row r="4" spans="1:44" ht="29.4">
      <c r="A4" s="2" t="s">
        <v>117</v>
      </c>
      <c r="B4" s="2" t="s">
        <v>118</v>
      </c>
      <c r="H4" s="9" t="s">
        <v>0</v>
      </c>
      <c r="I4" s="9" t="s">
        <v>1</v>
      </c>
      <c r="J4" s="9" t="s">
        <v>2</v>
      </c>
      <c r="K4" s="9" t="s">
        <v>3</v>
      </c>
      <c r="L4" s="9" t="s">
        <v>4</v>
      </c>
      <c r="M4" s="9" t="s">
        <v>5</v>
      </c>
      <c r="N4" s="9" t="s">
        <v>6</v>
      </c>
      <c r="O4" s="9" t="s">
        <v>7</v>
      </c>
      <c r="P4" s="9" t="s">
        <v>8</v>
      </c>
      <c r="Q4" s="9" t="s">
        <v>9</v>
      </c>
      <c r="R4" s="9" t="s">
        <v>10</v>
      </c>
      <c r="S4" s="9" t="s">
        <v>11</v>
      </c>
      <c r="T4" s="9" t="s">
        <v>12</v>
      </c>
      <c r="U4" s="9" t="s">
        <v>13</v>
      </c>
      <c r="V4" s="9" t="s">
        <v>14</v>
      </c>
      <c r="W4" s="9" t="s">
        <v>15</v>
      </c>
      <c r="X4" s="9" t="s">
        <v>16</v>
      </c>
      <c r="Y4" s="9" t="s">
        <v>17</v>
      </c>
      <c r="Z4" s="9" t="s">
        <v>18</v>
      </c>
      <c r="AA4" s="9" t="s">
        <v>19</v>
      </c>
      <c r="AB4" s="9" t="s">
        <v>20</v>
      </c>
      <c r="AC4" s="9" t="s">
        <v>21</v>
      </c>
      <c r="AD4" s="9" t="s">
        <v>22</v>
      </c>
      <c r="AE4" s="9" t="s">
        <v>23</v>
      </c>
      <c r="AF4" s="9" t="s">
        <v>24</v>
      </c>
      <c r="AG4" s="9" t="s">
        <v>25</v>
      </c>
      <c r="AH4" s="9" t="s">
        <v>26</v>
      </c>
      <c r="AI4" s="9" t="s">
        <v>27</v>
      </c>
      <c r="AJ4" s="9" t="s">
        <v>28</v>
      </c>
      <c r="AK4" s="9" t="s">
        <v>29</v>
      </c>
      <c r="AO4" s="9" t="s">
        <v>119</v>
      </c>
      <c r="AP4" s="9" t="s">
        <v>120</v>
      </c>
      <c r="AQ4" s="9" t="s">
        <v>121</v>
      </c>
      <c r="AR4" s="24" t="s">
        <v>122</v>
      </c>
    </row>
    <row r="5" spans="1:44" ht="15">
      <c r="A5" s="2" t="str">
        <f>_xlfn.CONCAT(J5,I5)</f>
        <v>January2021</v>
      </c>
      <c r="B5" s="2">
        <v>66695.478654874605</v>
      </c>
      <c r="H5" s="9" t="s">
        <v>33</v>
      </c>
      <c r="I5" s="2">
        <v>2021</v>
      </c>
      <c r="J5" s="2" t="s">
        <v>31</v>
      </c>
      <c r="K5" s="2">
        <v>144.9</v>
      </c>
      <c r="L5" s="2">
        <v>190.1</v>
      </c>
      <c r="M5" s="2">
        <v>175.3</v>
      </c>
      <c r="N5" s="2">
        <v>154.1</v>
      </c>
      <c r="O5" s="2">
        <v>150.9</v>
      </c>
      <c r="P5" s="2">
        <v>149.6</v>
      </c>
      <c r="Q5" s="2">
        <v>194.2</v>
      </c>
      <c r="R5" s="2">
        <v>160.4</v>
      </c>
      <c r="S5" s="2">
        <v>114.6</v>
      </c>
      <c r="T5" s="2">
        <v>164</v>
      </c>
      <c r="U5" s="2">
        <v>151.80000000000001</v>
      </c>
      <c r="V5" s="2">
        <v>165.6</v>
      </c>
      <c r="W5" s="2">
        <v>161</v>
      </c>
      <c r="X5" s="2">
        <v>186.5</v>
      </c>
      <c r="Y5" s="2">
        <v>155.5</v>
      </c>
      <c r="Z5" s="2">
        <v>146.1</v>
      </c>
      <c r="AA5" s="2">
        <v>154.19999999999999</v>
      </c>
      <c r="AB5" s="2">
        <v>157.69999999999999</v>
      </c>
      <c r="AC5" s="2">
        <v>147.9</v>
      </c>
      <c r="AD5" s="2">
        <v>150</v>
      </c>
      <c r="AE5" s="2">
        <v>159.30000000000001</v>
      </c>
      <c r="AF5" s="2">
        <v>141.9</v>
      </c>
      <c r="AG5" s="2">
        <v>149.6</v>
      </c>
      <c r="AH5" s="2">
        <v>159.19999999999999</v>
      </c>
      <c r="AI5" s="2">
        <v>156.80000000000001</v>
      </c>
      <c r="AJ5" s="2">
        <v>151.9</v>
      </c>
      <c r="AK5" s="2">
        <v>157.30000000000001</v>
      </c>
      <c r="AO5" s="9" t="s">
        <v>3</v>
      </c>
      <c r="AP5" s="2" t="s">
        <v>123</v>
      </c>
      <c r="AQ5" s="2" t="s">
        <v>124</v>
      </c>
      <c r="AR5" s="2">
        <v>0.44017675841832798</v>
      </c>
    </row>
    <row r="6" spans="1:44" ht="15">
      <c r="A6" s="2" t="str">
        <f t="shared" ref="A6:A33" si="0">_xlfn.CONCAT(J6,I6)</f>
        <v>February2021</v>
      </c>
      <c r="B6" s="2">
        <v>60965.591062388899</v>
      </c>
      <c r="H6" s="9" t="s">
        <v>33</v>
      </c>
      <c r="I6" s="2">
        <v>2021</v>
      </c>
      <c r="J6" s="2" t="s">
        <v>34</v>
      </c>
      <c r="K6" s="2">
        <v>144.30000000000001</v>
      </c>
      <c r="L6" s="2">
        <v>186.5</v>
      </c>
      <c r="M6" s="2">
        <v>168.7</v>
      </c>
      <c r="N6" s="2">
        <v>154.69999999999999</v>
      </c>
      <c r="O6" s="2">
        <v>158.69999999999999</v>
      </c>
      <c r="P6" s="2">
        <v>150.69999999999999</v>
      </c>
      <c r="Q6" s="2">
        <v>160</v>
      </c>
      <c r="R6" s="2">
        <v>158.80000000000001</v>
      </c>
      <c r="S6" s="2">
        <v>112.8</v>
      </c>
      <c r="T6" s="2">
        <v>164.2</v>
      </c>
      <c r="U6" s="2">
        <v>155.5</v>
      </c>
      <c r="V6" s="2">
        <v>167.5</v>
      </c>
      <c r="W6" s="2">
        <v>156.9</v>
      </c>
      <c r="X6" s="2">
        <v>188.3</v>
      </c>
      <c r="Y6" s="2">
        <v>157.19999999999999</v>
      </c>
      <c r="Z6" s="2">
        <v>147.4</v>
      </c>
      <c r="AA6" s="2">
        <v>155.80000000000001</v>
      </c>
      <c r="AB6" s="2">
        <v>159.80000000000001</v>
      </c>
      <c r="AC6" s="2">
        <v>152.4</v>
      </c>
      <c r="AD6" s="2">
        <v>150.9</v>
      </c>
      <c r="AE6" s="2">
        <v>161.30000000000001</v>
      </c>
      <c r="AF6" s="2">
        <v>145.1</v>
      </c>
      <c r="AG6" s="2">
        <v>151.5</v>
      </c>
      <c r="AH6" s="2">
        <v>159.5</v>
      </c>
      <c r="AI6" s="2">
        <v>155.80000000000001</v>
      </c>
      <c r="AJ6" s="2">
        <v>153.4</v>
      </c>
      <c r="AK6" s="2">
        <v>156.6</v>
      </c>
      <c r="AO6" s="9" t="s">
        <v>4</v>
      </c>
      <c r="AP6" s="2" t="s">
        <v>123</v>
      </c>
      <c r="AQ6" s="2" t="s">
        <v>124</v>
      </c>
      <c r="AR6" s="2">
        <v>0.79268638395138602</v>
      </c>
    </row>
    <row r="7" spans="1:44" ht="15">
      <c r="A7" s="2" t="str">
        <f t="shared" si="0"/>
        <v>March2021</v>
      </c>
      <c r="B7" s="2">
        <v>75470.774130757607</v>
      </c>
      <c r="H7" s="9" t="s">
        <v>33</v>
      </c>
      <c r="I7" s="2">
        <v>2021</v>
      </c>
      <c r="J7" s="2" t="s">
        <v>35</v>
      </c>
      <c r="K7" s="2">
        <v>144.1</v>
      </c>
      <c r="L7" s="2">
        <v>192.2</v>
      </c>
      <c r="M7" s="2">
        <v>163.80000000000001</v>
      </c>
      <c r="N7" s="2">
        <v>154.9</v>
      </c>
      <c r="O7" s="2">
        <v>163.9</v>
      </c>
      <c r="P7" s="2">
        <v>153.69999999999999</v>
      </c>
      <c r="Q7" s="2">
        <v>149.5</v>
      </c>
      <c r="R7" s="2">
        <v>159.80000000000001</v>
      </c>
      <c r="S7" s="2">
        <v>112.6</v>
      </c>
      <c r="T7" s="2">
        <v>163.5</v>
      </c>
      <c r="U7" s="2">
        <v>156.5</v>
      </c>
      <c r="V7" s="2">
        <v>168.2</v>
      </c>
      <c r="W7" s="2">
        <v>156.69999999999999</v>
      </c>
      <c r="X7" s="2">
        <v>188.1</v>
      </c>
      <c r="Y7" s="2">
        <v>157.80000000000001</v>
      </c>
      <c r="Z7" s="2">
        <v>147.9</v>
      </c>
      <c r="AA7" s="2">
        <v>156.4</v>
      </c>
      <c r="AB7" s="2">
        <v>159.9</v>
      </c>
      <c r="AC7" s="2">
        <v>155.5</v>
      </c>
      <c r="AD7" s="2">
        <v>151.19999999999999</v>
      </c>
      <c r="AE7" s="2">
        <v>161.69999999999999</v>
      </c>
      <c r="AF7" s="2">
        <v>146.19999999999999</v>
      </c>
      <c r="AG7" s="2">
        <v>152.6</v>
      </c>
      <c r="AH7" s="2">
        <v>160.19999999999999</v>
      </c>
      <c r="AI7" s="2">
        <v>153.80000000000001</v>
      </c>
      <c r="AJ7" s="2">
        <v>153.80000000000001</v>
      </c>
      <c r="AK7" s="2">
        <v>156.80000000000001</v>
      </c>
      <c r="AO7" s="9" t="s">
        <v>5</v>
      </c>
      <c r="AP7" s="2" t="s">
        <v>123</v>
      </c>
      <c r="AQ7" s="2" t="s">
        <v>124</v>
      </c>
      <c r="AR7" s="2">
        <v>-8.3230117728398903E-2</v>
      </c>
    </row>
    <row r="8" spans="1:44" ht="15">
      <c r="A8" s="2" t="str">
        <f t="shared" si="0"/>
        <v>April2021</v>
      </c>
      <c r="B8" s="2">
        <v>74207.6451562898</v>
      </c>
      <c r="H8" s="9" t="s">
        <v>33</v>
      </c>
      <c r="I8" s="2">
        <v>2021</v>
      </c>
      <c r="J8" s="2" t="s">
        <v>36</v>
      </c>
      <c r="K8" s="2">
        <v>144.30000000000001</v>
      </c>
      <c r="L8" s="2">
        <v>198</v>
      </c>
      <c r="M8" s="2">
        <v>164.6</v>
      </c>
      <c r="N8" s="2">
        <v>155.4</v>
      </c>
      <c r="O8" s="2">
        <v>170.1</v>
      </c>
      <c r="P8" s="2">
        <v>164.4</v>
      </c>
      <c r="Q8" s="2">
        <v>144.1</v>
      </c>
      <c r="R8" s="2">
        <v>161.69999999999999</v>
      </c>
      <c r="S8" s="2">
        <v>113.1</v>
      </c>
      <c r="T8" s="2">
        <v>163.9</v>
      </c>
      <c r="U8" s="2">
        <v>157.6</v>
      </c>
      <c r="V8" s="2">
        <v>168.9</v>
      </c>
      <c r="W8" s="2">
        <v>158</v>
      </c>
      <c r="X8" s="2">
        <v>188.8</v>
      </c>
      <c r="Y8" s="2">
        <v>158.80000000000001</v>
      </c>
      <c r="Z8" s="2">
        <v>148.5</v>
      </c>
      <c r="AA8" s="2">
        <v>157.30000000000001</v>
      </c>
      <c r="AB8" s="2">
        <v>161.4</v>
      </c>
      <c r="AC8" s="2">
        <v>155.6</v>
      </c>
      <c r="AD8" s="2">
        <v>151.80000000000001</v>
      </c>
      <c r="AE8" s="2">
        <v>162.30000000000001</v>
      </c>
      <c r="AF8" s="2">
        <v>146.6</v>
      </c>
      <c r="AG8" s="2">
        <v>153.19999999999999</v>
      </c>
      <c r="AH8" s="2">
        <v>160.30000000000001</v>
      </c>
      <c r="AI8" s="2">
        <v>155.4</v>
      </c>
      <c r="AJ8" s="2">
        <v>154.4</v>
      </c>
      <c r="AK8" s="2">
        <v>157.80000000000001</v>
      </c>
      <c r="AO8" s="9" t="s">
        <v>6</v>
      </c>
      <c r="AP8" s="2" t="s">
        <v>123</v>
      </c>
      <c r="AQ8" s="2" t="s">
        <v>124</v>
      </c>
      <c r="AR8" s="2">
        <v>0.52801215784440103</v>
      </c>
    </row>
    <row r="9" spans="1:44" ht="15">
      <c r="A9" s="2" t="str">
        <f t="shared" si="0"/>
        <v>May2021</v>
      </c>
      <c r="B9" s="2">
        <v>70046.397374263397</v>
      </c>
      <c r="H9" s="9" t="s">
        <v>33</v>
      </c>
      <c r="I9" s="2">
        <v>2021</v>
      </c>
      <c r="J9" s="2" t="s">
        <v>37</v>
      </c>
      <c r="K9" s="2">
        <v>146.30000000000001</v>
      </c>
      <c r="L9" s="2">
        <v>200.5</v>
      </c>
      <c r="M9" s="2">
        <v>170.3</v>
      </c>
      <c r="N9" s="2">
        <v>156.1</v>
      </c>
      <c r="O9" s="2">
        <v>178.7</v>
      </c>
      <c r="P9" s="2">
        <v>167.1</v>
      </c>
      <c r="Q9" s="2">
        <v>147.9</v>
      </c>
      <c r="R9" s="2">
        <v>165.4</v>
      </c>
      <c r="S9" s="2">
        <v>114.8</v>
      </c>
      <c r="T9" s="2">
        <v>168.2</v>
      </c>
      <c r="U9" s="2">
        <v>159.30000000000001</v>
      </c>
      <c r="V9" s="2">
        <v>170.4</v>
      </c>
      <c r="W9" s="2">
        <v>160.69999999999999</v>
      </c>
      <c r="X9" s="2">
        <v>191.9</v>
      </c>
      <c r="Y9" s="2">
        <v>161.80000000000001</v>
      </c>
      <c r="Z9" s="2">
        <v>152.1</v>
      </c>
      <c r="AA9" s="2">
        <v>160.4</v>
      </c>
      <c r="AB9" s="2">
        <v>161.6</v>
      </c>
      <c r="AC9" s="2">
        <v>159.4</v>
      </c>
      <c r="AD9" s="2">
        <v>154.69999999999999</v>
      </c>
      <c r="AE9" s="2">
        <v>165.8</v>
      </c>
      <c r="AF9" s="2">
        <v>148.9</v>
      </c>
      <c r="AG9" s="2">
        <v>155.80000000000001</v>
      </c>
      <c r="AH9" s="2">
        <v>161.19999999999999</v>
      </c>
      <c r="AI9" s="2">
        <v>158.6</v>
      </c>
      <c r="AJ9" s="2">
        <v>156.80000000000001</v>
      </c>
      <c r="AK9" s="2">
        <v>160.4</v>
      </c>
      <c r="AO9" s="9" t="s">
        <v>7</v>
      </c>
      <c r="AP9" s="2" t="s">
        <v>123</v>
      </c>
      <c r="AQ9" s="2" t="s">
        <v>124</v>
      </c>
      <c r="AR9" s="2">
        <v>0.75137562864761798</v>
      </c>
    </row>
    <row r="10" spans="1:44" ht="15">
      <c r="A10" s="2" t="str">
        <f t="shared" si="0"/>
        <v>June2021</v>
      </c>
      <c r="B10" s="2">
        <v>71679.348913787893</v>
      </c>
      <c r="H10" s="9" t="s">
        <v>33</v>
      </c>
      <c r="I10" s="2">
        <v>2021</v>
      </c>
      <c r="J10" s="2" t="s">
        <v>38</v>
      </c>
      <c r="K10" s="2">
        <v>146.69999999999999</v>
      </c>
      <c r="L10" s="2">
        <v>202</v>
      </c>
      <c r="M10" s="2">
        <v>180.7</v>
      </c>
      <c r="N10" s="2">
        <v>156.19999999999999</v>
      </c>
      <c r="O10" s="2">
        <v>183.7</v>
      </c>
      <c r="P10" s="2">
        <v>164.6</v>
      </c>
      <c r="Q10" s="2">
        <v>155.4</v>
      </c>
      <c r="R10" s="2">
        <v>166</v>
      </c>
      <c r="S10" s="2">
        <v>115.1</v>
      </c>
      <c r="T10" s="2">
        <v>168.5</v>
      </c>
      <c r="U10" s="2">
        <v>160</v>
      </c>
      <c r="V10" s="2">
        <v>172.4</v>
      </c>
      <c r="W10" s="2">
        <v>162.6</v>
      </c>
      <c r="X10" s="2">
        <v>190.8</v>
      </c>
      <c r="Y10" s="2">
        <v>162.19999999999999</v>
      </c>
      <c r="Z10" s="2">
        <v>151.80000000000001</v>
      </c>
      <c r="AA10" s="2">
        <v>160.69999999999999</v>
      </c>
      <c r="AB10" s="2">
        <v>160.5</v>
      </c>
      <c r="AC10" s="2">
        <v>159.80000000000001</v>
      </c>
      <c r="AD10" s="2">
        <v>154.80000000000001</v>
      </c>
      <c r="AE10" s="2">
        <v>166.3</v>
      </c>
      <c r="AF10" s="2">
        <v>150.69999999999999</v>
      </c>
      <c r="AG10" s="2">
        <v>154.9</v>
      </c>
      <c r="AH10" s="2">
        <v>161.69999999999999</v>
      </c>
      <c r="AI10" s="2">
        <v>158.80000000000001</v>
      </c>
      <c r="AJ10" s="2">
        <v>157.6</v>
      </c>
      <c r="AK10" s="2">
        <v>161.30000000000001</v>
      </c>
      <c r="AO10" s="9" t="s">
        <v>8</v>
      </c>
      <c r="AP10" s="2" t="s">
        <v>123</v>
      </c>
      <c r="AQ10" s="2" t="s">
        <v>124</v>
      </c>
      <c r="AR10" s="2">
        <v>0.52580194973218197</v>
      </c>
    </row>
    <row r="11" spans="1:44" ht="15">
      <c r="A11" s="2" t="str">
        <f t="shared" si="0"/>
        <v>July2021</v>
      </c>
      <c r="B11" s="2">
        <v>72860.439470110607</v>
      </c>
      <c r="H11" s="9" t="s">
        <v>33</v>
      </c>
      <c r="I11" s="2">
        <v>2021</v>
      </c>
      <c r="J11" s="2" t="s">
        <v>39</v>
      </c>
      <c r="K11" s="2">
        <v>146.4</v>
      </c>
      <c r="L11" s="2">
        <v>206.8</v>
      </c>
      <c r="M11" s="2">
        <v>182.2</v>
      </c>
      <c r="N11" s="2">
        <v>157.5</v>
      </c>
      <c r="O11" s="2">
        <v>182.1</v>
      </c>
      <c r="P11" s="2">
        <v>163.9</v>
      </c>
      <c r="Q11" s="2">
        <v>164.2</v>
      </c>
      <c r="R11" s="2">
        <v>164</v>
      </c>
      <c r="S11" s="2">
        <v>114.5</v>
      </c>
      <c r="T11" s="2">
        <v>168.3</v>
      </c>
      <c r="U11" s="2">
        <v>160.9</v>
      </c>
      <c r="V11" s="2">
        <v>172.2</v>
      </c>
      <c r="W11" s="2">
        <v>164</v>
      </c>
      <c r="X11" s="2">
        <v>191.2</v>
      </c>
      <c r="Y11" s="2">
        <v>162.80000000000001</v>
      </c>
      <c r="Z11" s="2">
        <v>153.1</v>
      </c>
      <c r="AA11" s="2">
        <v>161.4</v>
      </c>
      <c r="AB11" s="2">
        <v>161.5</v>
      </c>
      <c r="AC11" s="2">
        <v>160.69999999999999</v>
      </c>
      <c r="AD11" s="2">
        <v>155.80000000000001</v>
      </c>
      <c r="AE11" s="2">
        <v>167</v>
      </c>
      <c r="AF11" s="2">
        <v>153.1</v>
      </c>
      <c r="AG11" s="2">
        <v>155.30000000000001</v>
      </c>
      <c r="AH11" s="2">
        <v>163.19999999999999</v>
      </c>
      <c r="AI11" s="2">
        <v>160.1</v>
      </c>
      <c r="AJ11" s="2">
        <v>159</v>
      </c>
      <c r="AK11" s="2">
        <v>162.5</v>
      </c>
      <c r="AO11" s="9" t="s">
        <v>9</v>
      </c>
      <c r="AP11" s="2" t="s">
        <v>123</v>
      </c>
      <c r="AQ11" s="2" t="s">
        <v>124</v>
      </c>
      <c r="AR11" s="2">
        <v>0.328515855425624</v>
      </c>
    </row>
    <row r="12" spans="1:44" ht="15">
      <c r="A12" s="2" t="str">
        <f t="shared" si="0"/>
        <v>August2021</v>
      </c>
      <c r="B12" s="2">
        <v>80983.015512993996</v>
      </c>
      <c r="H12" s="9" t="s">
        <v>33</v>
      </c>
      <c r="I12" s="2">
        <v>2021</v>
      </c>
      <c r="J12" s="2" t="s">
        <v>40</v>
      </c>
      <c r="K12" s="2">
        <v>146.6</v>
      </c>
      <c r="L12" s="2">
        <v>204</v>
      </c>
      <c r="M12" s="2">
        <v>172.8</v>
      </c>
      <c r="N12" s="2">
        <v>158.4</v>
      </c>
      <c r="O12" s="2">
        <v>188</v>
      </c>
      <c r="P12" s="2">
        <v>156.80000000000001</v>
      </c>
      <c r="Q12" s="2">
        <v>162.19999999999999</v>
      </c>
      <c r="R12" s="2">
        <v>164.1</v>
      </c>
      <c r="S12" s="2">
        <v>119.7</v>
      </c>
      <c r="T12" s="2">
        <v>168.8</v>
      </c>
      <c r="U12" s="2">
        <v>162.69999999999999</v>
      </c>
      <c r="V12" s="2">
        <v>173.9</v>
      </c>
      <c r="W12" s="2">
        <v>164</v>
      </c>
      <c r="X12" s="2">
        <v>192.1</v>
      </c>
      <c r="Y12" s="2">
        <v>164.5</v>
      </c>
      <c r="Z12" s="2">
        <v>155.30000000000001</v>
      </c>
      <c r="AA12" s="2">
        <v>163.19999999999999</v>
      </c>
      <c r="AB12" s="2">
        <v>162.1</v>
      </c>
      <c r="AC12" s="2">
        <v>162.6</v>
      </c>
      <c r="AD12" s="2">
        <v>157.5</v>
      </c>
      <c r="AE12" s="2">
        <v>168.4</v>
      </c>
      <c r="AF12" s="2">
        <v>154</v>
      </c>
      <c r="AG12" s="2">
        <v>157.6</v>
      </c>
      <c r="AH12" s="2">
        <v>163.80000000000001</v>
      </c>
      <c r="AI12" s="2">
        <v>160</v>
      </c>
      <c r="AJ12" s="2">
        <v>160</v>
      </c>
      <c r="AK12" s="2">
        <v>163.19999999999999</v>
      </c>
      <c r="AO12" s="9" t="s">
        <v>10</v>
      </c>
      <c r="AP12" s="2" t="s">
        <v>123</v>
      </c>
      <c r="AQ12" s="2" t="s">
        <v>124</v>
      </c>
      <c r="AR12" s="2">
        <v>0.32272831877671099</v>
      </c>
    </row>
    <row r="13" spans="1:44" ht="15">
      <c r="A13" s="2" t="str">
        <f t="shared" si="0"/>
        <v>September2021</v>
      </c>
      <c r="B13" s="2">
        <v>83035.173906576601</v>
      </c>
      <c r="H13" s="9" t="s">
        <v>33</v>
      </c>
      <c r="I13" s="2">
        <v>2021</v>
      </c>
      <c r="J13" s="2" t="s">
        <v>41</v>
      </c>
      <c r="K13" s="2">
        <v>146.6</v>
      </c>
      <c r="L13" s="2">
        <v>204</v>
      </c>
      <c r="M13" s="2">
        <v>172.8</v>
      </c>
      <c r="N13" s="2">
        <v>158.4</v>
      </c>
      <c r="O13" s="2">
        <v>188</v>
      </c>
      <c r="P13" s="2">
        <v>156.69999999999999</v>
      </c>
      <c r="Q13" s="2">
        <v>162.30000000000001</v>
      </c>
      <c r="R13" s="2">
        <v>164.1</v>
      </c>
      <c r="S13" s="2">
        <v>119.7</v>
      </c>
      <c r="T13" s="2">
        <v>168.8</v>
      </c>
      <c r="U13" s="2">
        <v>162.69999999999999</v>
      </c>
      <c r="V13" s="2">
        <v>173.9</v>
      </c>
      <c r="W13" s="2">
        <v>164</v>
      </c>
      <c r="X13" s="2">
        <v>192.1</v>
      </c>
      <c r="Y13" s="2">
        <v>164.6</v>
      </c>
      <c r="Z13" s="2">
        <v>155.30000000000001</v>
      </c>
      <c r="AA13" s="2">
        <v>163.30000000000001</v>
      </c>
      <c r="AB13" s="2">
        <v>162.1</v>
      </c>
      <c r="AC13" s="2">
        <v>162.6</v>
      </c>
      <c r="AD13" s="2">
        <v>157.5</v>
      </c>
      <c r="AE13" s="2">
        <v>168.4</v>
      </c>
      <c r="AF13" s="2">
        <v>154</v>
      </c>
      <c r="AG13" s="2">
        <v>157.69999999999999</v>
      </c>
      <c r="AH13" s="2">
        <v>163.69999999999999</v>
      </c>
      <c r="AI13" s="2">
        <v>160</v>
      </c>
      <c r="AJ13" s="2">
        <v>160</v>
      </c>
      <c r="AK13" s="2">
        <v>163.19999999999999</v>
      </c>
      <c r="AO13" s="9" t="s">
        <v>11</v>
      </c>
      <c r="AP13" s="2" t="s">
        <v>123</v>
      </c>
      <c r="AQ13" s="2" t="s">
        <v>124</v>
      </c>
      <c r="AR13" s="2">
        <v>0.60898859301652397</v>
      </c>
    </row>
    <row r="14" spans="1:44" ht="15">
      <c r="A14" s="2" t="str">
        <f t="shared" si="0"/>
        <v>October2021</v>
      </c>
      <c r="B14" s="2">
        <v>91471.513995553905</v>
      </c>
      <c r="H14" s="9" t="s">
        <v>33</v>
      </c>
      <c r="I14" s="2">
        <v>2021</v>
      </c>
      <c r="J14" s="2" t="s">
        <v>42</v>
      </c>
      <c r="K14" s="2">
        <v>147.4</v>
      </c>
      <c r="L14" s="2">
        <v>204.6</v>
      </c>
      <c r="M14" s="2">
        <v>171.2</v>
      </c>
      <c r="N14" s="2">
        <v>158.69999999999999</v>
      </c>
      <c r="O14" s="2">
        <v>190.6</v>
      </c>
      <c r="P14" s="2">
        <v>155.69999999999999</v>
      </c>
      <c r="Q14" s="2">
        <v>185.3</v>
      </c>
      <c r="R14" s="2">
        <v>165.2</v>
      </c>
      <c r="S14" s="2">
        <v>121.9</v>
      </c>
      <c r="T14" s="2">
        <v>169.3</v>
      </c>
      <c r="U14" s="2">
        <v>163.19999999999999</v>
      </c>
      <c r="V14" s="2">
        <v>174.7</v>
      </c>
      <c r="W14" s="2">
        <v>167.7</v>
      </c>
      <c r="X14" s="2">
        <v>192.7</v>
      </c>
      <c r="Y14" s="2">
        <v>165.7</v>
      </c>
      <c r="Z14" s="2">
        <v>156.30000000000001</v>
      </c>
      <c r="AA14" s="2">
        <v>164.3</v>
      </c>
      <c r="AB14" s="2">
        <v>163.6</v>
      </c>
      <c r="AC14" s="2">
        <v>164.2</v>
      </c>
      <c r="AD14" s="2">
        <v>158.4</v>
      </c>
      <c r="AE14" s="2">
        <v>169.1</v>
      </c>
      <c r="AF14" s="2">
        <v>155.69999999999999</v>
      </c>
      <c r="AG14" s="2">
        <v>158.6</v>
      </c>
      <c r="AH14" s="2">
        <v>163.9</v>
      </c>
      <c r="AI14" s="2">
        <v>160.80000000000001</v>
      </c>
      <c r="AJ14" s="2">
        <v>161</v>
      </c>
      <c r="AK14" s="2">
        <v>165.5</v>
      </c>
      <c r="AO14" s="9" t="s">
        <v>12</v>
      </c>
      <c r="AP14" s="2" t="s">
        <v>123</v>
      </c>
      <c r="AQ14" s="2" t="s">
        <v>124</v>
      </c>
      <c r="AR14" s="2">
        <v>0.51253296913706503</v>
      </c>
    </row>
    <row r="15" spans="1:44" ht="15">
      <c r="A15" s="2" t="str">
        <f t="shared" si="0"/>
        <v>November 2021</v>
      </c>
      <c r="B15" s="2">
        <v>95105.451863192196</v>
      </c>
      <c r="H15" s="9" t="s">
        <v>33</v>
      </c>
      <c r="I15" s="2">
        <v>2021</v>
      </c>
      <c r="J15" s="2" t="s">
        <v>43</v>
      </c>
      <c r="K15" s="2">
        <v>148.19999999999999</v>
      </c>
      <c r="L15" s="2">
        <v>201.6</v>
      </c>
      <c r="M15" s="2">
        <v>173</v>
      </c>
      <c r="N15" s="2">
        <v>159.30000000000001</v>
      </c>
      <c r="O15" s="2">
        <v>190.1</v>
      </c>
      <c r="P15" s="2">
        <v>156.5</v>
      </c>
      <c r="Q15" s="2">
        <v>199.2</v>
      </c>
      <c r="R15" s="2">
        <v>165.3</v>
      </c>
      <c r="S15" s="2">
        <v>122.4</v>
      </c>
      <c r="T15" s="2">
        <v>169.6</v>
      </c>
      <c r="U15" s="2">
        <v>163.69999999999999</v>
      </c>
      <c r="V15" s="2">
        <v>175.5</v>
      </c>
      <c r="W15" s="2">
        <v>169.7</v>
      </c>
      <c r="X15" s="2">
        <v>192.9</v>
      </c>
      <c r="Y15" s="2">
        <v>167.2</v>
      </c>
      <c r="Z15" s="2">
        <v>157.4</v>
      </c>
      <c r="AA15" s="2">
        <v>165.8</v>
      </c>
      <c r="AB15" s="2">
        <v>164.2</v>
      </c>
      <c r="AC15" s="2">
        <v>163.9</v>
      </c>
      <c r="AD15" s="2">
        <v>159.30000000000001</v>
      </c>
      <c r="AE15" s="2">
        <v>169.9</v>
      </c>
      <c r="AF15" s="2">
        <v>154.80000000000001</v>
      </c>
      <c r="AG15" s="2">
        <v>159.80000000000001</v>
      </c>
      <c r="AH15" s="2">
        <v>164.3</v>
      </c>
      <c r="AI15" s="2">
        <v>162.19999999999999</v>
      </c>
      <c r="AJ15" s="2">
        <v>161.4</v>
      </c>
      <c r="AK15" s="2">
        <v>166.7</v>
      </c>
      <c r="AO15" s="9" t="s">
        <v>13</v>
      </c>
      <c r="AP15" s="2" t="s">
        <v>123</v>
      </c>
      <c r="AQ15" s="2" t="s">
        <v>124</v>
      </c>
      <c r="AR15" s="2">
        <v>0.67587166556768097</v>
      </c>
    </row>
    <row r="16" spans="1:44" ht="15">
      <c r="A16" s="2" t="str">
        <f t="shared" si="0"/>
        <v>December2021</v>
      </c>
      <c r="B16" s="2">
        <v>100380.52800837099</v>
      </c>
      <c r="H16" s="9" t="s">
        <v>33</v>
      </c>
      <c r="I16" s="2">
        <v>2021</v>
      </c>
      <c r="J16" s="2" t="s">
        <v>45</v>
      </c>
      <c r="K16" s="2">
        <v>148.69999999999999</v>
      </c>
      <c r="L16" s="2">
        <v>198.8</v>
      </c>
      <c r="M16" s="2">
        <v>177.9</v>
      </c>
      <c r="N16" s="2">
        <v>159.9</v>
      </c>
      <c r="O16" s="2">
        <v>187.6</v>
      </c>
      <c r="P16" s="2">
        <v>154.9</v>
      </c>
      <c r="Q16" s="2">
        <v>188.3</v>
      </c>
      <c r="R16" s="2">
        <v>164.4</v>
      </c>
      <c r="S16" s="2">
        <v>121</v>
      </c>
      <c r="T16" s="2">
        <v>170.5</v>
      </c>
      <c r="U16" s="2">
        <v>164.2</v>
      </c>
      <c r="V16" s="2">
        <v>176.5</v>
      </c>
      <c r="W16" s="2">
        <v>168.2</v>
      </c>
      <c r="X16" s="2">
        <v>192.4</v>
      </c>
      <c r="Y16" s="2">
        <v>168.5</v>
      </c>
      <c r="Z16" s="2">
        <v>158.69999999999999</v>
      </c>
      <c r="AA16" s="2">
        <v>167</v>
      </c>
      <c r="AB16" s="2">
        <v>163.4</v>
      </c>
      <c r="AC16" s="2">
        <v>164.1</v>
      </c>
      <c r="AD16" s="2">
        <v>160.19999999999999</v>
      </c>
      <c r="AE16" s="2">
        <v>170.6</v>
      </c>
      <c r="AF16" s="2">
        <v>155.69999999999999</v>
      </c>
      <c r="AG16" s="2">
        <v>160.6</v>
      </c>
      <c r="AH16" s="2">
        <v>164.4</v>
      </c>
      <c r="AI16" s="2">
        <v>162.6</v>
      </c>
      <c r="AJ16" s="2">
        <v>162</v>
      </c>
      <c r="AK16" s="2">
        <v>166.2</v>
      </c>
      <c r="AO16" s="9" t="s">
        <v>14</v>
      </c>
      <c r="AP16" s="2" t="s">
        <v>123</v>
      </c>
      <c r="AQ16" s="2" t="s">
        <v>124</v>
      </c>
      <c r="AR16" s="2">
        <v>0.63554887759632295</v>
      </c>
    </row>
    <row r="17" spans="1:44" ht="15">
      <c r="A17" s="2" t="str">
        <f t="shared" si="0"/>
        <v>January2022</v>
      </c>
      <c r="B17" s="2">
        <v>101828.288877698</v>
      </c>
      <c r="H17" s="9" t="s">
        <v>33</v>
      </c>
      <c r="I17" s="2">
        <v>2022</v>
      </c>
      <c r="J17" s="2" t="s">
        <v>31</v>
      </c>
      <c r="K17" s="2">
        <v>149.5</v>
      </c>
      <c r="L17" s="2">
        <v>198.7</v>
      </c>
      <c r="M17" s="2">
        <v>178.8</v>
      </c>
      <c r="N17" s="2">
        <v>160.5</v>
      </c>
      <c r="O17" s="2">
        <v>184.7</v>
      </c>
      <c r="P17" s="2">
        <v>153.69999999999999</v>
      </c>
      <c r="Q17" s="2">
        <v>174.3</v>
      </c>
      <c r="R17" s="2">
        <v>163.9</v>
      </c>
      <c r="S17" s="2">
        <v>120</v>
      </c>
      <c r="T17" s="2">
        <v>172.1</v>
      </c>
      <c r="U17" s="2">
        <v>164.3</v>
      </c>
      <c r="V17" s="2">
        <v>177.3</v>
      </c>
      <c r="W17" s="2">
        <v>166.4</v>
      </c>
      <c r="X17" s="2">
        <v>192.2</v>
      </c>
      <c r="Y17" s="2">
        <v>169.9</v>
      </c>
      <c r="Z17" s="2">
        <v>160.69999999999999</v>
      </c>
      <c r="AA17" s="2">
        <v>168.5</v>
      </c>
      <c r="AB17" s="2">
        <v>164.5</v>
      </c>
      <c r="AC17" s="2">
        <v>164.2</v>
      </c>
      <c r="AD17" s="2">
        <v>161.1</v>
      </c>
      <c r="AE17" s="2">
        <v>171.4</v>
      </c>
      <c r="AF17" s="2">
        <v>156.5</v>
      </c>
      <c r="AG17" s="2">
        <v>161.19999999999999</v>
      </c>
      <c r="AH17" s="2">
        <v>164.7</v>
      </c>
      <c r="AI17" s="2">
        <v>163</v>
      </c>
      <c r="AJ17" s="2">
        <v>162.69999999999999</v>
      </c>
      <c r="AK17" s="2">
        <v>165.7</v>
      </c>
      <c r="AO17" s="9" t="s">
        <v>15</v>
      </c>
      <c r="AP17" s="2" t="s">
        <v>123</v>
      </c>
      <c r="AQ17" s="2" t="s">
        <v>124</v>
      </c>
      <c r="AR17" s="2">
        <v>0.70985767478792205</v>
      </c>
    </row>
    <row r="18" spans="1:44" ht="15">
      <c r="A18" s="2" t="str">
        <f t="shared" si="0"/>
        <v>February2022</v>
      </c>
      <c r="B18" s="2">
        <v>102317.688033714</v>
      </c>
      <c r="H18" s="9" t="s">
        <v>33</v>
      </c>
      <c r="I18" s="2">
        <v>2022</v>
      </c>
      <c r="J18" s="2" t="s">
        <v>34</v>
      </c>
      <c r="K18" s="2">
        <v>150</v>
      </c>
      <c r="L18" s="2">
        <v>200.6</v>
      </c>
      <c r="M18" s="2">
        <v>175.8</v>
      </c>
      <c r="N18" s="2">
        <v>160.69999999999999</v>
      </c>
      <c r="O18" s="2">
        <v>184.9</v>
      </c>
      <c r="P18" s="2">
        <v>153.69999999999999</v>
      </c>
      <c r="Q18" s="2">
        <v>169.7</v>
      </c>
      <c r="R18" s="2">
        <v>163.69999999999999</v>
      </c>
      <c r="S18" s="2">
        <v>118.9</v>
      </c>
      <c r="T18" s="2">
        <v>174.3</v>
      </c>
      <c r="U18" s="2">
        <v>164.7</v>
      </c>
      <c r="V18" s="2">
        <v>178</v>
      </c>
      <c r="W18" s="2">
        <v>166.2</v>
      </c>
      <c r="X18" s="2">
        <v>192.8</v>
      </c>
      <c r="Y18" s="2">
        <v>170.8</v>
      </c>
      <c r="Z18" s="2">
        <v>162.4</v>
      </c>
      <c r="AA18" s="2">
        <v>169.6</v>
      </c>
      <c r="AB18" s="2">
        <v>165.5</v>
      </c>
      <c r="AC18" s="2">
        <v>165.7</v>
      </c>
      <c r="AD18" s="2">
        <v>161.80000000000001</v>
      </c>
      <c r="AE18" s="2">
        <v>172.2</v>
      </c>
      <c r="AF18" s="2">
        <v>156.9</v>
      </c>
      <c r="AG18" s="2">
        <v>162.1</v>
      </c>
      <c r="AH18" s="2">
        <v>165.4</v>
      </c>
      <c r="AI18" s="2">
        <v>164.4</v>
      </c>
      <c r="AJ18" s="2">
        <v>163.5</v>
      </c>
      <c r="AK18" s="2">
        <v>166.1</v>
      </c>
      <c r="AO18" s="9" t="s">
        <v>16</v>
      </c>
      <c r="AP18" s="2" t="s">
        <v>123</v>
      </c>
      <c r="AQ18" s="2" t="s">
        <v>126</v>
      </c>
      <c r="AR18" s="2">
        <v>0.532571841057493</v>
      </c>
    </row>
    <row r="19" spans="1:44" ht="15">
      <c r="A19" s="2" t="str">
        <f t="shared" si="0"/>
        <v>March2022</v>
      </c>
      <c r="B19" s="2">
        <v>134181.47733497701</v>
      </c>
      <c r="H19" s="9" t="s">
        <v>33</v>
      </c>
      <c r="I19" s="2">
        <v>2022</v>
      </c>
      <c r="J19" s="2" t="s">
        <v>35</v>
      </c>
      <c r="K19" s="2">
        <v>151.30000000000001</v>
      </c>
      <c r="L19" s="2">
        <v>210.7</v>
      </c>
      <c r="M19" s="2">
        <v>167.8</v>
      </c>
      <c r="N19" s="2">
        <v>162.19999999999999</v>
      </c>
      <c r="O19" s="2">
        <v>194.6</v>
      </c>
      <c r="P19" s="2">
        <v>157.6</v>
      </c>
      <c r="Q19" s="2">
        <v>166.9</v>
      </c>
      <c r="R19" s="2">
        <v>163.9</v>
      </c>
      <c r="S19" s="2">
        <v>118.8</v>
      </c>
      <c r="T19" s="2">
        <v>177.4</v>
      </c>
      <c r="U19" s="2">
        <v>165.3</v>
      </c>
      <c r="V19" s="2">
        <v>179.3</v>
      </c>
      <c r="W19" s="2">
        <v>168.4</v>
      </c>
      <c r="X19" s="2">
        <v>193.7</v>
      </c>
      <c r="Y19" s="2">
        <v>172.1</v>
      </c>
      <c r="Z19" s="2">
        <v>164.6</v>
      </c>
      <c r="AA19" s="2">
        <v>171.1</v>
      </c>
      <c r="AB19" s="2">
        <v>165.3</v>
      </c>
      <c r="AC19" s="2">
        <v>167.2</v>
      </c>
      <c r="AD19" s="2">
        <v>162.80000000000001</v>
      </c>
      <c r="AE19" s="2">
        <v>173</v>
      </c>
      <c r="AF19" s="2">
        <v>157.9</v>
      </c>
      <c r="AG19" s="2">
        <v>163.30000000000001</v>
      </c>
      <c r="AH19" s="2">
        <v>166</v>
      </c>
      <c r="AI19" s="2">
        <v>167.2</v>
      </c>
      <c r="AJ19" s="2">
        <v>164.6</v>
      </c>
      <c r="AK19" s="2">
        <v>167.7</v>
      </c>
      <c r="AO19" s="9" t="s">
        <v>17</v>
      </c>
      <c r="AP19" s="2" t="s">
        <v>123</v>
      </c>
      <c r="AQ19" s="2" t="s">
        <v>127</v>
      </c>
      <c r="AR19" s="2">
        <v>0.66752105424672503</v>
      </c>
    </row>
    <row r="20" spans="1:44" ht="15">
      <c r="A20" s="2" t="str">
        <f t="shared" si="0"/>
        <v>April2022</v>
      </c>
      <c r="B20" s="2">
        <v>151257.77739211501</v>
      </c>
      <c r="H20" s="9" t="s">
        <v>33</v>
      </c>
      <c r="I20" s="2">
        <v>2022</v>
      </c>
      <c r="J20" s="2" t="s">
        <v>36</v>
      </c>
      <c r="K20" s="2">
        <v>152.9</v>
      </c>
      <c r="L20" s="2">
        <v>211.8</v>
      </c>
      <c r="M20" s="2">
        <v>164.5</v>
      </c>
      <c r="N20" s="2">
        <v>163.9</v>
      </c>
      <c r="O20" s="2">
        <v>199.5</v>
      </c>
      <c r="P20" s="2">
        <v>172.6</v>
      </c>
      <c r="Q20" s="2">
        <v>166.2</v>
      </c>
      <c r="R20" s="2">
        <v>164.7</v>
      </c>
      <c r="S20" s="2">
        <v>119</v>
      </c>
      <c r="T20" s="2">
        <v>181.3</v>
      </c>
      <c r="U20" s="2">
        <v>166.2</v>
      </c>
      <c r="V20" s="2">
        <v>180.9</v>
      </c>
      <c r="W20" s="2">
        <v>170.8</v>
      </c>
      <c r="X20" s="2">
        <v>193.9</v>
      </c>
      <c r="Y20" s="2">
        <v>173.9</v>
      </c>
      <c r="Z20" s="2">
        <v>166.5</v>
      </c>
      <c r="AA20" s="2">
        <v>172.8</v>
      </c>
      <c r="AB20" s="2">
        <v>167</v>
      </c>
      <c r="AC20" s="2">
        <v>172.2</v>
      </c>
      <c r="AD20" s="2">
        <v>164</v>
      </c>
      <c r="AE20" s="2">
        <v>174</v>
      </c>
      <c r="AF20" s="2">
        <v>162.6</v>
      </c>
      <c r="AG20" s="2">
        <v>164.4</v>
      </c>
      <c r="AH20" s="2">
        <v>166.9</v>
      </c>
      <c r="AI20" s="2">
        <v>168.8</v>
      </c>
      <c r="AJ20" s="2">
        <v>166.8</v>
      </c>
      <c r="AK20" s="2">
        <v>170.1</v>
      </c>
      <c r="AO20" s="9" t="s">
        <v>18</v>
      </c>
      <c r="AP20" s="2" t="s">
        <v>123</v>
      </c>
      <c r="AQ20" s="2" t="s">
        <v>127</v>
      </c>
      <c r="AR20" s="2">
        <v>0.69262835349824203</v>
      </c>
    </row>
    <row r="21" spans="1:44" ht="15">
      <c r="A21" s="2" t="str">
        <f t="shared" si="0"/>
        <v>May2022</v>
      </c>
      <c r="B21" s="2">
        <v>137781.523690267</v>
      </c>
      <c r="H21" s="9" t="s">
        <v>33</v>
      </c>
      <c r="I21" s="2">
        <v>2022</v>
      </c>
      <c r="J21" s="2" t="s">
        <v>37</v>
      </c>
      <c r="K21" s="2">
        <v>154.1</v>
      </c>
      <c r="L21" s="2">
        <v>217</v>
      </c>
      <c r="M21" s="2">
        <v>162.4</v>
      </c>
      <c r="N21" s="2">
        <v>164.9</v>
      </c>
      <c r="O21" s="2">
        <v>202.4</v>
      </c>
      <c r="P21" s="2">
        <v>171</v>
      </c>
      <c r="Q21" s="2">
        <v>174.9</v>
      </c>
      <c r="R21" s="2">
        <v>164.7</v>
      </c>
      <c r="S21" s="2">
        <v>119.7</v>
      </c>
      <c r="T21" s="2">
        <v>184.9</v>
      </c>
      <c r="U21" s="2">
        <v>167.1</v>
      </c>
      <c r="V21" s="2">
        <v>182.5</v>
      </c>
      <c r="W21" s="2">
        <v>173.3</v>
      </c>
      <c r="X21" s="2">
        <v>194.1</v>
      </c>
      <c r="Y21" s="2">
        <v>175.6</v>
      </c>
      <c r="Z21" s="2">
        <v>168.4</v>
      </c>
      <c r="AA21" s="2">
        <v>174.6</v>
      </c>
      <c r="AB21" s="2">
        <v>167.5</v>
      </c>
      <c r="AC21" s="2">
        <v>174.6</v>
      </c>
      <c r="AD21" s="2">
        <v>165.2</v>
      </c>
      <c r="AE21" s="2">
        <v>174.8</v>
      </c>
      <c r="AF21" s="2">
        <v>163</v>
      </c>
      <c r="AG21" s="2">
        <v>165.1</v>
      </c>
      <c r="AH21" s="2">
        <v>167.9</v>
      </c>
      <c r="AI21" s="2">
        <v>168.4</v>
      </c>
      <c r="AJ21" s="2">
        <v>167.5</v>
      </c>
      <c r="AK21" s="2">
        <v>171.7</v>
      </c>
      <c r="AO21" s="9" t="s">
        <v>19</v>
      </c>
      <c r="AP21" s="2" t="s">
        <v>123</v>
      </c>
      <c r="AQ21" s="2" t="s">
        <v>127</v>
      </c>
      <c r="AR21" s="2">
        <v>0.67177408699418295</v>
      </c>
    </row>
    <row r="22" spans="1:44" ht="15">
      <c r="A22" s="2" t="str">
        <f t="shared" si="0"/>
        <v>June2022</v>
      </c>
      <c r="B22" s="2">
        <v>140361.99809642401</v>
      </c>
      <c r="H22" s="9" t="s">
        <v>33</v>
      </c>
      <c r="I22" s="2">
        <v>2022</v>
      </c>
      <c r="J22" s="2" t="s">
        <v>38</v>
      </c>
      <c r="K22" s="2">
        <v>155</v>
      </c>
      <c r="L22" s="2">
        <v>219.4</v>
      </c>
      <c r="M22" s="2">
        <v>170.8</v>
      </c>
      <c r="N22" s="2">
        <v>165.8</v>
      </c>
      <c r="O22" s="2">
        <v>200.9</v>
      </c>
      <c r="P22" s="2">
        <v>169.7</v>
      </c>
      <c r="Q22" s="2">
        <v>182.3</v>
      </c>
      <c r="R22" s="2">
        <v>164.3</v>
      </c>
      <c r="S22" s="2">
        <v>119.9</v>
      </c>
      <c r="T22" s="2">
        <v>187.1</v>
      </c>
      <c r="U22" s="2">
        <v>167.9</v>
      </c>
      <c r="V22" s="2">
        <v>183.9</v>
      </c>
      <c r="W22" s="2">
        <v>174.9</v>
      </c>
      <c r="X22" s="2">
        <v>194.3</v>
      </c>
      <c r="Y22" s="2">
        <v>177.1</v>
      </c>
      <c r="Z22" s="2">
        <v>169.9</v>
      </c>
      <c r="AA22" s="2">
        <v>176</v>
      </c>
      <c r="AB22" s="2">
        <v>166.8</v>
      </c>
      <c r="AC22" s="2">
        <v>176</v>
      </c>
      <c r="AD22" s="2">
        <v>166.4</v>
      </c>
      <c r="AE22" s="2">
        <v>175.4</v>
      </c>
      <c r="AF22" s="2">
        <v>161.1</v>
      </c>
      <c r="AG22" s="2">
        <v>165.8</v>
      </c>
      <c r="AH22" s="2">
        <v>169</v>
      </c>
      <c r="AI22" s="2">
        <v>169.4</v>
      </c>
      <c r="AJ22" s="2">
        <v>167.5</v>
      </c>
      <c r="AK22" s="2">
        <v>172.6</v>
      </c>
      <c r="AO22" s="9" t="s">
        <v>20</v>
      </c>
      <c r="AP22" s="2" t="s">
        <v>123</v>
      </c>
      <c r="AQ22" s="2" t="s">
        <v>128</v>
      </c>
      <c r="AR22" s="2">
        <v>0.58292169810517402</v>
      </c>
    </row>
    <row r="23" spans="1:44" ht="15">
      <c r="A23" s="2" t="str">
        <f t="shared" si="0"/>
        <v>July2022</v>
      </c>
      <c r="B23" s="2">
        <v>148619.35499624</v>
      </c>
      <c r="H23" s="9" t="s">
        <v>33</v>
      </c>
      <c r="I23" s="2">
        <v>2022</v>
      </c>
      <c r="J23" s="2" t="s">
        <v>39</v>
      </c>
      <c r="K23" s="2">
        <v>156.5</v>
      </c>
      <c r="L23" s="2">
        <v>213</v>
      </c>
      <c r="M23" s="2">
        <v>175.2</v>
      </c>
      <c r="N23" s="2">
        <v>166.6</v>
      </c>
      <c r="O23" s="2">
        <v>195.8</v>
      </c>
      <c r="P23" s="2">
        <v>174.2</v>
      </c>
      <c r="Q23" s="2">
        <v>182.1</v>
      </c>
      <c r="R23" s="2">
        <v>164.3</v>
      </c>
      <c r="S23" s="2">
        <v>120</v>
      </c>
      <c r="T23" s="2">
        <v>190</v>
      </c>
      <c r="U23" s="2">
        <v>168.4</v>
      </c>
      <c r="V23" s="2">
        <v>185.2</v>
      </c>
      <c r="W23" s="2">
        <v>175</v>
      </c>
      <c r="X23" s="2">
        <v>194.6</v>
      </c>
      <c r="Y23" s="2">
        <v>178.3</v>
      </c>
      <c r="Z23" s="2">
        <v>171.3</v>
      </c>
      <c r="AA23" s="2">
        <v>177.3</v>
      </c>
      <c r="AB23" s="2">
        <v>167.8</v>
      </c>
      <c r="AC23" s="2">
        <v>179.6</v>
      </c>
      <c r="AD23" s="2">
        <v>167.4</v>
      </c>
      <c r="AE23" s="2">
        <v>176.1</v>
      </c>
      <c r="AF23" s="2">
        <v>161.6</v>
      </c>
      <c r="AG23" s="2">
        <v>166.3</v>
      </c>
      <c r="AH23" s="2">
        <v>171.4</v>
      </c>
      <c r="AI23" s="2">
        <v>169.7</v>
      </c>
      <c r="AJ23" s="2">
        <v>168.4</v>
      </c>
      <c r="AK23" s="2">
        <v>173.4</v>
      </c>
      <c r="AO23" s="9" t="s">
        <v>21</v>
      </c>
      <c r="AP23" s="2" t="s">
        <v>123</v>
      </c>
      <c r="AQ23" s="2" t="s">
        <v>129</v>
      </c>
      <c r="AR23" s="2">
        <v>0.71047151158581401</v>
      </c>
    </row>
    <row r="24" spans="1:44" ht="15">
      <c r="A24" s="2" t="str">
        <f t="shared" si="0"/>
        <v>August2022</v>
      </c>
      <c r="B24" s="2">
        <v>120976.19320076999</v>
      </c>
      <c r="H24" s="9" t="s">
        <v>33</v>
      </c>
      <c r="I24" s="2">
        <v>2022</v>
      </c>
      <c r="J24" s="2" t="s">
        <v>40</v>
      </c>
      <c r="K24" s="2">
        <v>160.30000000000001</v>
      </c>
      <c r="L24" s="2">
        <v>206.5</v>
      </c>
      <c r="M24" s="2">
        <v>169.2</v>
      </c>
      <c r="N24" s="2">
        <v>168.1</v>
      </c>
      <c r="O24" s="2">
        <v>192.4</v>
      </c>
      <c r="P24" s="2">
        <v>172.9</v>
      </c>
      <c r="Q24" s="2">
        <v>186.7</v>
      </c>
      <c r="R24" s="2">
        <v>167.2</v>
      </c>
      <c r="S24" s="2">
        <v>120.9</v>
      </c>
      <c r="T24" s="2">
        <v>193.6</v>
      </c>
      <c r="U24" s="2">
        <v>168.8</v>
      </c>
      <c r="V24" s="2">
        <v>186.3</v>
      </c>
      <c r="W24" s="2">
        <v>176.3</v>
      </c>
      <c r="X24" s="2">
        <v>195</v>
      </c>
      <c r="Y24" s="2">
        <v>179.5</v>
      </c>
      <c r="Z24" s="2">
        <v>172.7</v>
      </c>
      <c r="AA24" s="2">
        <v>178.5</v>
      </c>
      <c r="AB24" s="2">
        <v>169</v>
      </c>
      <c r="AC24" s="2">
        <v>178.8</v>
      </c>
      <c r="AD24" s="2">
        <v>168.5</v>
      </c>
      <c r="AE24" s="2">
        <v>176.8</v>
      </c>
      <c r="AF24" s="2">
        <v>161.9</v>
      </c>
      <c r="AG24" s="2">
        <v>166.9</v>
      </c>
      <c r="AH24" s="2">
        <v>172.3</v>
      </c>
      <c r="AI24" s="2">
        <v>171.2</v>
      </c>
      <c r="AJ24" s="2">
        <v>169.1</v>
      </c>
      <c r="AK24" s="2">
        <v>174.3</v>
      </c>
      <c r="AO24" s="9" t="s">
        <v>22</v>
      </c>
      <c r="AP24" s="2" t="s">
        <v>123</v>
      </c>
      <c r="AQ24" s="2" t="s">
        <v>128</v>
      </c>
      <c r="AR24" s="2">
        <v>0.65447675113762405</v>
      </c>
    </row>
    <row r="25" spans="1:44" ht="15">
      <c r="A25" s="2" t="str">
        <f t="shared" si="0"/>
        <v>September2022</v>
      </c>
      <c r="B25" s="2">
        <v>110015.881041999</v>
      </c>
      <c r="H25" s="9" t="s">
        <v>33</v>
      </c>
      <c r="I25" s="2">
        <v>2022</v>
      </c>
      <c r="J25" s="2" t="s">
        <v>41</v>
      </c>
      <c r="K25" s="2">
        <v>163.5</v>
      </c>
      <c r="L25" s="2">
        <v>209.2</v>
      </c>
      <c r="M25" s="2">
        <v>169.7</v>
      </c>
      <c r="N25" s="2">
        <v>169.7</v>
      </c>
      <c r="O25" s="2">
        <v>188.7</v>
      </c>
      <c r="P25" s="2">
        <v>165.7</v>
      </c>
      <c r="Q25" s="2">
        <v>191.8</v>
      </c>
      <c r="R25" s="2">
        <v>169.1</v>
      </c>
      <c r="S25" s="2">
        <v>121.6</v>
      </c>
      <c r="T25" s="2">
        <v>197.3</v>
      </c>
      <c r="U25" s="2">
        <v>169.4</v>
      </c>
      <c r="V25" s="2">
        <v>187.4</v>
      </c>
      <c r="W25" s="2">
        <v>177.8</v>
      </c>
      <c r="X25" s="2">
        <v>195.9</v>
      </c>
      <c r="Y25" s="2">
        <v>180.9</v>
      </c>
      <c r="Z25" s="2">
        <v>174.3</v>
      </c>
      <c r="AA25" s="2">
        <v>179.9</v>
      </c>
      <c r="AB25" s="2">
        <v>169.5</v>
      </c>
      <c r="AC25" s="2">
        <v>179.5</v>
      </c>
      <c r="AD25" s="2">
        <v>169.5</v>
      </c>
      <c r="AE25" s="2">
        <v>177.8</v>
      </c>
      <c r="AF25" s="2">
        <v>162.30000000000001</v>
      </c>
      <c r="AG25" s="2">
        <v>167.6</v>
      </c>
      <c r="AH25" s="2">
        <v>173.1</v>
      </c>
      <c r="AI25" s="2">
        <v>170.9</v>
      </c>
      <c r="AJ25" s="2">
        <v>169.7</v>
      </c>
      <c r="AK25" s="2">
        <v>175.3</v>
      </c>
      <c r="AO25" s="9" t="s">
        <v>23</v>
      </c>
      <c r="AP25" s="2" t="s">
        <v>123</v>
      </c>
      <c r="AQ25" s="2" t="s">
        <v>125</v>
      </c>
      <c r="AR25" s="2">
        <v>0.618614231786491</v>
      </c>
    </row>
    <row r="26" spans="1:44" ht="15">
      <c r="A26" s="2" t="str">
        <f t="shared" si="0"/>
        <v>October2022</v>
      </c>
      <c r="B26" s="2">
        <v>116548.197341684</v>
      </c>
      <c r="H26" s="9" t="s">
        <v>33</v>
      </c>
      <c r="I26" s="2">
        <v>2022</v>
      </c>
      <c r="J26" s="2" t="s">
        <v>42</v>
      </c>
      <c r="K26" s="2">
        <v>165.2</v>
      </c>
      <c r="L26" s="2">
        <v>210.9</v>
      </c>
      <c r="M26" s="2">
        <v>170.9</v>
      </c>
      <c r="N26" s="2">
        <v>170.9</v>
      </c>
      <c r="O26" s="2">
        <v>186.5</v>
      </c>
      <c r="P26" s="2">
        <v>163.80000000000001</v>
      </c>
      <c r="Q26" s="2">
        <v>199.7</v>
      </c>
      <c r="R26" s="2">
        <v>169.8</v>
      </c>
      <c r="S26" s="2">
        <v>121.9</v>
      </c>
      <c r="T26" s="2">
        <v>199.9</v>
      </c>
      <c r="U26" s="2">
        <v>169.9</v>
      </c>
      <c r="V26" s="2">
        <v>188.3</v>
      </c>
      <c r="W26" s="2">
        <v>179.6</v>
      </c>
      <c r="X26" s="2">
        <v>196.3</v>
      </c>
      <c r="Y26" s="2">
        <v>181.9</v>
      </c>
      <c r="Z26" s="2">
        <v>175.3</v>
      </c>
      <c r="AA26" s="2">
        <v>181</v>
      </c>
      <c r="AB26" s="2">
        <v>171.2</v>
      </c>
      <c r="AC26" s="2">
        <v>180.5</v>
      </c>
      <c r="AD26" s="2">
        <v>170.4</v>
      </c>
      <c r="AE26" s="2">
        <v>178.7</v>
      </c>
      <c r="AF26" s="2">
        <v>162.9</v>
      </c>
      <c r="AG26" s="2">
        <v>168.2</v>
      </c>
      <c r="AH26" s="2">
        <v>173.4</v>
      </c>
      <c r="AI26" s="2">
        <v>172.1</v>
      </c>
      <c r="AJ26" s="2">
        <v>170.5</v>
      </c>
      <c r="AK26" s="2">
        <v>176.7</v>
      </c>
      <c r="AO26" s="9" t="s">
        <v>24</v>
      </c>
      <c r="AP26" s="2" t="s">
        <v>123</v>
      </c>
      <c r="AQ26" s="2" t="s">
        <v>129</v>
      </c>
      <c r="AR26" s="2">
        <v>0.77877919315666599</v>
      </c>
    </row>
    <row r="27" spans="1:44" ht="15">
      <c r="A27" s="2" t="str">
        <f t="shared" si="0"/>
        <v>November 2022</v>
      </c>
      <c r="B27" s="2">
        <v>118277.276201341</v>
      </c>
      <c r="H27" s="9" t="s">
        <v>33</v>
      </c>
      <c r="I27" s="2">
        <v>2022</v>
      </c>
      <c r="J27" s="2" t="s">
        <v>43</v>
      </c>
      <c r="K27" s="2">
        <v>167.4</v>
      </c>
      <c r="L27" s="2">
        <v>209.4</v>
      </c>
      <c r="M27" s="2">
        <v>181.4</v>
      </c>
      <c r="N27" s="2">
        <v>172.3</v>
      </c>
      <c r="O27" s="2">
        <v>188.9</v>
      </c>
      <c r="P27" s="2">
        <v>160.69999999999999</v>
      </c>
      <c r="Q27" s="2">
        <v>183.1</v>
      </c>
      <c r="R27" s="2">
        <v>170.5</v>
      </c>
      <c r="S27" s="2">
        <v>122.1</v>
      </c>
      <c r="T27" s="2">
        <v>202.8</v>
      </c>
      <c r="U27" s="2">
        <v>170.4</v>
      </c>
      <c r="V27" s="2">
        <v>189.5</v>
      </c>
      <c r="W27" s="2">
        <v>178.3</v>
      </c>
      <c r="X27" s="2">
        <v>196.9</v>
      </c>
      <c r="Y27" s="2">
        <v>183.1</v>
      </c>
      <c r="Z27" s="2">
        <v>176.2</v>
      </c>
      <c r="AA27" s="2">
        <v>182.1</v>
      </c>
      <c r="AB27" s="2">
        <v>171.8</v>
      </c>
      <c r="AC27" s="2">
        <v>181.3</v>
      </c>
      <c r="AD27" s="2">
        <v>171.4</v>
      </c>
      <c r="AE27" s="2">
        <v>179.8</v>
      </c>
      <c r="AF27" s="2">
        <v>163</v>
      </c>
      <c r="AG27" s="2">
        <v>168.5</v>
      </c>
      <c r="AH27" s="2">
        <v>173.7</v>
      </c>
      <c r="AI27" s="2">
        <v>173.6</v>
      </c>
      <c r="AJ27" s="2">
        <v>171.1</v>
      </c>
      <c r="AK27" s="2">
        <v>176.5</v>
      </c>
      <c r="AO27" s="9" t="s">
        <v>25</v>
      </c>
      <c r="AP27" s="2" t="s">
        <v>123</v>
      </c>
      <c r="AQ27" s="2" t="s">
        <v>126</v>
      </c>
      <c r="AR27" s="2">
        <v>0.724267270129197</v>
      </c>
    </row>
    <row r="28" spans="1:44" ht="15">
      <c r="A28" s="2" t="str">
        <f t="shared" si="0"/>
        <v>December2022</v>
      </c>
      <c r="B28" s="2">
        <v>112095.477543425</v>
      </c>
      <c r="H28" s="9" t="s">
        <v>33</v>
      </c>
      <c r="I28" s="2">
        <v>2022</v>
      </c>
      <c r="J28" s="2" t="s">
        <v>45</v>
      </c>
      <c r="K28" s="2">
        <v>169.2</v>
      </c>
      <c r="L28" s="2">
        <v>209</v>
      </c>
      <c r="M28" s="2">
        <v>190.2</v>
      </c>
      <c r="N28" s="2">
        <v>173.6</v>
      </c>
      <c r="O28" s="2">
        <v>188.5</v>
      </c>
      <c r="P28" s="2">
        <v>158</v>
      </c>
      <c r="Q28" s="2">
        <v>159.9</v>
      </c>
      <c r="R28" s="2">
        <v>170.8</v>
      </c>
      <c r="S28" s="2">
        <v>121.8</v>
      </c>
      <c r="T28" s="2">
        <v>205.2</v>
      </c>
      <c r="U28" s="2">
        <v>171</v>
      </c>
      <c r="V28" s="2">
        <v>190.3</v>
      </c>
      <c r="W28" s="2">
        <v>175.9</v>
      </c>
      <c r="X28" s="2">
        <v>197.3</v>
      </c>
      <c r="Y28" s="2">
        <v>184</v>
      </c>
      <c r="Z28" s="2">
        <v>177</v>
      </c>
      <c r="AA28" s="2">
        <v>183</v>
      </c>
      <c r="AB28" s="2">
        <v>170.7</v>
      </c>
      <c r="AC28" s="2">
        <v>182</v>
      </c>
      <c r="AD28" s="2">
        <v>172.1</v>
      </c>
      <c r="AE28" s="2">
        <v>181.1</v>
      </c>
      <c r="AF28" s="2">
        <v>163.4</v>
      </c>
      <c r="AG28" s="2">
        <v>168.9</v>
      </c>
      <c r="AH28" s="2">
        <v>174.1</v>
      </c>
      <c r="AI28" s="2">
        <v>175.8</v>
      </c>
      <c r="AJ28" s="2">
        <v>172</v>
      </c>
      <c r="AK28" s="2">
        <v>175.7</v>
      </c>
      <c r="AO28" s="9" t="s">
        <v>26</v>
      </c>
      <c r="AP28" s="2" t="s">
        <v>123</v>
      </c>
      <c r="AQ28" s="2" t="s">
        <v>128</v>
      </c>
      <c r="AR28" s="2">
        <v>0.59640199467194899</v>
      </c>
    </row>
    <row r="29" spans="1:44" ht="15">
      <c r="A29" s="2" t="str">
        <f t="shared" si="0"/>
        <v>January2023</v>
      </c>
      <c r="B29" s="2">
        <v>108892.965233639</v>
      </c>
      <c r="H29" s="9" t="s">
        <v>33</v>
      </c>
      <c r="I29" s="2">
        <v>2023</v>
      </c>
      <c r="J29" s="2" t="s">
        <v>31</v>
      </c>
      <c r="K29" s="2">
        <v>173.8</v>
      </c>
      <c r="L29" s="2">
        <v>210.7</v>
      </c>
      <c r="M29" s="2">
        <v>194.5</v>
      </c>
      <c r="N29" s="2">
        <v>174.6</v>
      </c>
      <c r="O29" s="2">
        <v>187.2</v>
      </c>
      <c r="P29" s="2">
        <v>158.30000000000001</v>
      </c>
      <c r="Q29" s="2">
        <v>153.9</v>
      </c>
      <c r="R29" s="2">
        <v>170.9</v>
      </c>
      <c r="S29" s="2">
        <v>121.1</v>
      </c>
      <c r="T29" s="2">
        <v>208.4</v>
      </c>
      <c r="U29" s="2">
        <v>171.4</v>
      </c>
      <c r="V29" s="2">
        <v>191.2</v>
      </c>
      <c r="W29" s="2">
        <v>176.7</v>
      </c>
      <c r="X29" s="2">
        <v>198.2</v>
      </c>
      <c r="Y29" s="2">
        <v>184.9</v>
      </c>
      <c r="Z29" s="2">
        <v>177.6</v>
      </c>
      <c r="AA29" s="2">
        <v>183.8</v>
      </c>
      <c r="AB29" s="2">
        <v>172.1</v>
      </c>
      <c r="AC29" s="2">
        <v>182</v>
      </c>
      <c r="AD29" s="2">
        <v>172.9</v>
      </c>
      <c r="AE29" s="2">
        <v>182.3</v>
      </c>
      <c r="AF29" s="2">
        <v>163.6</v>
      </c>
      <c r="AG29" s="2">
        <v>169.5</v>
      </c>
      <c r="AH29" s="2">
        <v>174.3</v>
      </c>
      <c r="AI29" s="2">
        <v>178.6</v>
      </c>
      <c r="AJ29" s="2">
        <v>172.8</v>
      </c>
      <c r="AK29" s="2">
        <v>176.5</v>
      </c>
      <c r="AO29" s="9" t="s">
        <v>27</v>
      </c>
      <c r="AP29" s="2" t="s">
        <v>123</v>
      </c>
      <c r="AQ29" s="2" t="s">
        <v>125</v>
      </c>
      <c r="AR29" s="2">
        <v>0.55942828642482101</v>
      </c>
    </row>
    <row r="30" spans="1:44" ht="15">
      <c r="A30" s="2" t="str">
        <f t="shared" si="0"/>
        <v>February2023</v>
      </c>
      <c r="B30" s="2">
        <v>103743.50619254399</v>
      </c>
      <c r="H30" s="9" t="s">
        <v>33</v>
      </c>
      <c r="I30" s="2">
        <v>2023</v>
      </c>
      <c r="J30" s="2" t="s">
        <v>34</v>
      </c>
      <c r="K30" s="2">
        <v>174.4</v>
      </c>
      <c r="L30" s="2">
        <v>207.7</v>
      </c>
      <c r="M30" s="2">
        <v>175.2</v>
      </c>
      <c r="N30" s="2">
        <v>177.3</v>
      </c>
      <c r="O30" s="2">
        <v>179.3</v>
      </c>
      <c r="P30" s="2">
        <v>169.5</v>
      </c>
      <c r="Q30" s="2">
        <v>152.69999999999999</v>
      </c>
      <c r="R30" s="2">
        <v>171</v>
      </c>
      <c r="S30" s="2">
        <v>120</v>
      </c>
      <c r="T30" s="2">
        <v>209.7</v>
      </c>
      <c r="U30" s="2">
        <v>172.3</v>
      </c>
      <c r="V30" s="2">
        <v>193</v>
      </c>
      <c r="W30" s="2">
        <v>177</v>
      </c>
      <c r="X30" s="2">
        <v>199.5</v>
      </c>
      <c r="Y30" s="2">
        <v>186.2</v>
      </c>
      <c r="Z30" s="2">
        <v>178.7</v>
      </c>
      <c r="AA30" s="2">
        <v>185.1</v>
      </c>
      <c r="AB30" s="2">
        <v>173.5</v>
      </c>
      <c r="AC30" s="2">
        <v>182.1</v>
      </c>
      <c r="AD30" s="2">
        <v>174.2</v>
      </c>
      <c r="AE30" s="2">
        <v>184.4</v>
      </c>
      <c r="AF30" s="2">
        <v>164.2</v>
      </c>
      <c r="AG30" s="2">
        <v>170.3</v>
      </c>
      <c r="AH30" s="2">
        <v>175</v>
      </c>
      <c r="AI30" s="2">
        <v>181</v>
      </c>
      <c r="AJ30" s="2">
        <v>174.1</v>
      </c>
      <c r="AK30" s="2">
        <v>177.2</v>
      </c>
      <c r="AO30" s="9" t="s">
        <v>28</v>
      </c>
      <c r="AP30" s="2" t="s">
        <v>123</v>
      </c>
      <c r="AQ30" s="2" t="s">
        <v>126</v>
      </c>
      <c r="AR30" s="2">
        <v>0.67574034126462101</v>
      </c>
    </row>
    <row r="31" spans="1:44" ht="15">
      <c r="A31" s="2" t="str">
        <f t="shared" si="0"/>
        <v>March2023</v>
      </c>
      <c r="B31" s="2">
        <v>107655.661515607</v>
      </c>
      <c r="H31" s="9" t="s">
        <v>33</v>
      </c>
      <c r="I31" s="2">
        <v>2023</v>
      </c>
      <c r="J31" s="2" t="s">
        <v>35</v>
      </c>
      <c r="K31" s="2">
        <v>174.4</v>
      </c>
      <c r="L31" s="2">
        <v>207.7</v>
      </c>
      <c r="M31" s="2">
        <v>175.2</v>
      </c>
      <c r="N31" s="2">
        <v>177.3</v>
      </c>
      <c r="O31" s="2">
        <v>179.2</v>
      </c>
      <c r="P31" s="2">
        <v>169.5</v>
      </c>
      <c r="Q31" s="2">
        <v>152.80000000000001</v>
      </c>
      <c r="R31" s="2">
        <v>171.1</v>
      </c>
      <c r="S31" s="2">
        <v>120</v>
      </c>
      <c r="T31" s="2">
        <v>209.7</v>
      </c>
      <c r="U31" s="2">
        <v>172.3</v>
      </c>
      <c r="V31" s="2">
        <v>193</v>
      </c>
      <c r="W31" s="2">
        <v>177</v>
      </c>
      <c r="X31" s="2">
        <v>199.5</v>
      </c>
      <c r="Y31" s="2">
        <v>186.1</v>
      </c>
      <c r="Z31" s="2">
        <v>178.7</v>
      </c>
      <c r="AA31" s="2">
        <v>185.1</v>
      </c>
      <c r="AB31" s="2">
        <v>173.5</v>
      </c>
      <c r="AC31" s="2">
        <v>181.9</v>
      </c>
      <c r="AD31" s="2">
        <v>174.2</v>
      </c>
      <c r="AE31" s="2">
        <v>184.4</v>
      </c>
      <c r="AF31" s="2">
        <v>164.2</v>
      </c>
      <c r="AG31" s="2">
        <v>170.3</v>
      </c>
      <c r="AH31" s="2">
        <v>175</v>
      </c>
      <c r="AI31" s="2">
        <v>181</v>
      </c>
      <c r="AJ31" s="2">
        <v>174.1</v>
      </c>
      <c r="AK31" s="2">
        <v>177.2</v>
      </c>
      <c r="AR31">
        <v>0.69539564242095397</v>
      </c>
    </row>
    <row r="32" spans="1:44" ht="15">
      <c r="A32" s="2" t="str">
        <f t="shared" si="0"/>
        <v>April2023</v>
      </c>
      <c r="B32" s="2">
        <v>101450.654048938</v>
      </c>
      <c r="H32" s="9" t="s">
        <v>33</v>
      </c>
      <c r="I32" s="2">
        <v>2023</v>
      </c>
      <c r="J32" s="2" t="s">
        <v>36</v>
      </c>
      <c r="K32" s="2">
        <v>173.8</v>
      </c>
      <c r="L32" s="2">
        <v>209.3</v>
      </c>
      <c r="M32" s="2">
        <v>169.6</v>
      </c>
      <c r="N32" s="2">
        <v>178.4</v>
      </c>
      <c r="O32" s="2">
        <v>174.9</v>
      </c>
      <c r="P32" s="2">
        <v>176.3</v>
      </c>
      <c r="Q32" s="2">
        <v>155.4</v>
      </c>
      <c r="R32" s="2">
        <v>173.4</v>
      </c>
      <c r="S32" s="2">
        <v>121.3</v>
      </c>
      <c r="T32" s="2">
        <v>212.9</v>
      </c>
      <c r="U32" s="2">
        <v>172.9</v>
      </c>
      <c r="V32" s="2">
        <v>193.5</v>
      </c>
      <c r="W32" s="2">
        <v>177.9</v>
      </c>
      <c r="X32" s="2">
        <v>200.6</v>
      </c>
      <c r="Y32" s="2">
        <v>186.9</v>
      </c>
      <c r="Z32" s="2">
        <v>179.2</v>
      </c>
      <c r="AA32" s="2">
        <v>185.7</v>
      </c>
      <c r="AB32" s="2">
        <v>175.2</v>
      </c>
      <c r="AC32" s="2">
        <v>181.7</v>
      </c>
      <c r="AD32" s="2">
        <v>174.6</v>
      </c>
      <c r="AE32" s="2">
        <v>185</v>
      </c>
      <c r="AF32" s="2">
        <v>164.5</v>
      </c>
      <c r="AG32" s="2">
        <v>170.7</v>
      </c>
      <c r="AH32" s="2">
        <v>176.4</v>
      </c>
      <c r="AI32" s="2">
        <v>184</v>
      </c>
      <c r="AJ32" s="2">
        <v>175</v>
      </c>
      <c r="AK32" s="2">
        <v>178.1</v>
      </c>
    </row>
    <row r="33" spans="1:37" ht="15">
      <c r="A33" s="2" t="str">
        <f t="shared" si="0"/>
        <v>May2023</v>
      </c>
      <c r="B33" s="2">
        <v>103373.228680189</v>
      </c>
      <c r="H33" s="9" t="s">
        <v>33</v>
      </c>
      <c r="I33" s="2">
        <v>2023</v>
      </c>
      <c r="J33" s="2" t="s">
        <v>37</v>
      </c>
      <c r="K33" s="2">
        <v>173.7</v>
      </c>
      <c r="L33" s="2">
        <v>214.3</v>
      </c>
      <c r="M33" s="2">
        <v>173.2</v>
      </c>
      <c r="N33" s="2">
        <v>179.5</v>
      </c>
      <c r="O33" s="2">
        <v>170</v>
      </c>
      <c r="P33" s="2">
        <v>172.2</v>
      </c>
      <c r="Q33" s="2">
        <v>161</v>
      </c>
      <c r="R33" s="2">
        <v>175.6</v>
      </c>
      <c r="S33" s="2">
        <v>122.7</v>
      </c>
      <c r="T33" s="2">
        <v>218</v>
      </c>
      <c r="U33" s="2">
        <v>173.4</v>
      </c>
      <c r="V33" s="2">
        <v>194.2</v>
      </c>
      <c r="W33" s="2">
        <v>179.1</v>
      </c>
      <c r="X33" s="2">
        <v>201</v>
      </c>
      <c r="Y33" s="2">
        <v>187.3</v>
      </c>
      <c r="Z33" s="2">
        <v>179.7</v>
      </c>
      <c r="AA33" s="2">
        <v>186.2</v>
      </c>
      <c r="AB33" s="2">
        <v>175.6</v>
      </c>
      <c r="AC33" s="2">
        <v>182.8</v>
      </c>
      <c r="AD33" s="2">
        <v>175.2</v>
      </c>
      <c r="AE33" s="2">
        <v>185.7</v>
      </c>
      <c r="AF33" s="2">
        <v>164.8</v>
      </c>
      <c r="AG33" s="2">
        <v>171.2</v>
      </c>
      <c r="AH33" s="2">
        <v>177.1</v>
      </c>
      <c r="AI33" s="2">
        <v>185.2</v>
      </c>
      <c r="AJ33" s="2">
        <v>175.7</v>
      </c>
      <c r="AK33" s="2">
        <v>179.1</v>
      </c>
    </row>
    <row r="34" spans="1:37">
      <c r="K34">
        <f>CORREL($B$5:$B$33,K5:K33)</f>
        <v>0.44017675841832843</v>
      </c>
      <c r="L34">
        <f t="shared" ref="L34:AK34" si="1">CORREL($B$5:$B$33,L5:L33)</f>
        <v>0.79268638395138624</v>
      </c>
      <c r="M34">
        <f t="shared" si="1"/>
        <v>-8.3230117728400346E-2</v>
      </c>
      <c r="N34">
        <f t="shared" si="1"/>
        <v>0.52801215784440092</v>
      </c>
      <c r="O34">
        <f t="shared" si="1"/>
        <v>0.75137562864761909</v>
      </c>
      <c r="P34">
        <f t="shared" si="1"/>
        <v>0.52580194973218153</v>
      </c>
      <c r="Q34">
        <f t="shared" si="1"/>
        <v>0.32851585542562656</v>
      </c>
      <c r="R34">
        <f t="shared" si="1"/>
        <v>0.32272831877671115</v>
      </c>
      <c r="S34">
        <f t="shared" si="1"/>
        <v>0.60898859301652386</v>
      </c>
      <c r="T34">
        <f t="shared" si="1"/>
        <v>0.51253296913706481</v>
      </c>
      <c r="U34">
        <f t="shared" si="1"/>
        <v>0.67587166556768108</v>
      </c>
      <c r="V34">
        <f t="shared" si="1"/>
        <v>0.63554887759632273</v>
      </c>
      <c r="W34">
        <f t="shared" si="1"/>
        <v>0.7098576747879225</v>
      </c>
      <c r="X34">
        <f t="shared" si="1"/>
        <v>0.53257184105749245</v>
      </c>
      <c r="Y34">
        <f t="shared" si="1"/>
        <v>0.66752105424672437</v>
      </c>
      <c r="Z34">
        <f t="shared" si="1"/>
        <v>0.69262835349824226</v>
      </c>
      <c r="AA34">
        <f t="shared" si="1"/>
        <v>0.67177408699418317</v>
      </c>
      <c r="AB34">
        <f t="shared" si="1"/>
        <v>0.58292169810517402</v>
      </c>
      <c r="AC34">
        <f t="shared" si="1"/>
        <v>0.71047151158581434</v>
      </c>
      <c r="AD34">
        <f t="shared" si="1"/>
        <v>0.65447675113762327</v>
      </c>
      <c r="AE34">
        <f t="shared" si="1"/>
        <v>0.61861423178648989</v>
      </c>
      <c r="AF34">
        <f t="shared" si="1"/>
        <v>0.77877919315666588</v>
      </c>
      <c r="AG34">
        <f t="shared" si="1"/>
        <v>0.72426727012919734</v>
      </c>
      <c r="AH34">
        <f t="shared" si="1"/>
        <v>0.59640199467194899</v>
      </c>
      <c r="AI34">
        <f t="shared" si="1"/>
        <v>0.55942828642482056</v>
      </c>
      <c r="AJ34">
        <f t="shared" si="1"/>
        <v>0.67574034126462068</v>
      </c>
      <c r="AK34">
        <f t="shared" si="1"/>
        <v>0.69539564242095431</v>
      </c>
    </row>
  </sheetData>
  <mergeCells count="1">
    <mergeCell ref="A3:B3"/>
  </mergeCells>
  <conditionalFormatting sqref="AR5:AR30">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FDADF2-F460-4586-845B-FEC13FDC34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 DATA</vt:lpstr>
      <vt:lpstr>CATEGORIES</vt:lpstr>
      <vt:lpstr>AFTER CATEGORIES SUM</vt:lpstr>
      <vt:lpstr>Q1(A,B)</vt:lpstr>
      <vt:lpstr>Q2 GI</vt:lpstr>
      <vt:lpstr>Q2</vt:lpstr>
      <vt:lpstr>Q3(A)</vt:lpstr>
      <vt:lpstr>Q3-B</vt:lpstr>
      <vt:lpstr>Q3B-FOOD BUCKET DATA</vt:lpstr>
      <vt:lpstr>Q4 DATA</vt:lpstr>
      <vt:lpstr>Q5 FROM WEBSITE</vt:lpstr>
      <vt:lpstr>Q5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kotha kota Anjali</dc:creator>
  <cp:lastModifiedBy>kotha kota Anjali</cp:lastModifiedBy>
  <dcterms:created xsi:type="dcterms:W3CDTF">2026-05-08T04:57:54Z</dcterms:created>
  <dcterms:modified xsi:type="dcterms:W3CDTF">2026-06-22T08:00:50Z</dcterms:modified>
</cp:coreProperties>
</file>